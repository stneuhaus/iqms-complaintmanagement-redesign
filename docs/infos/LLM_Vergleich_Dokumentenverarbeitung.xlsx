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Ranking je Kriterium" sheetId="2" state="visible" r:id="rId2"/>
    <sheet xmlns:r="http://schemas.openxmlformats.org/officeDocument/2006/relationships" name="Top 5 je Kriterium" sheetId="3" state="visible" r:id="rId3"/>
    <sheet xmlns:r="http://schemas.openxmlformats.org/officeDocument/2006/relationships" name="Methodik &amp; Hinweise" sheetId="4" state="visible" r:id="rId4"/>
    <sheet xmlns:r="http://schemas.openxmlformats.org/officeDocument/2006/relationships" name="Quellen" sheetId="5" state="visible" r:id="rId5"/>
  </sheets>
  <definedNames>
    <definedName name="_xlnm._FilterDatabase" localSheetId="0" hidden="1">'Übersicht'!$A$4:$T$38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  <color rgb="00FFFFFF"/>
    </font>
    <font>
      <b val="1"/>
      <color rgb="00C00000"/>
    </font>
    <font>
      <i val="1"/>
      <color rgb="00808080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0384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2" customWidth="1" min="4" max="4"/>
    <col width="16" customWidth="1" min="5" max="5"/>
    <col width="9" customWidth="1" min="6" max="6"/>
    <col width="9" customWidth="1" min="7" max="7"/>
    <col width="14" customWidth="1" min="8" max="8"/>
    <col width="34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1" customWidth="1" min="18" max="18"/>
    <col width="11" customWidth="1" min="19" max="19"/>
    <col width="40" customWidth="1" min="20" max="20"/>
    <col hidden="1" width="13" customWidth="1" min="26" max="26"/>
  </cols>
  <sheetData>
    <row r="1">
      <c r="A1" s="1" t="inlineStr">
        <is>
          <t>LLM-Vergleich für Dokumentenverarbeitung (Stand 07.10.2026)</t>
        </is>
      </c>
    </row>
    <row r="2" ht="32" customHeight="1">
      <c r="A2" s="2" t="inlineStr">
        <is>
          <t>Bewertungen 1–10 sind eine qualitative Einschätzung und keine Messwerte. Bitte mit eigenen Testdokumenten prüfen. Preise sind öffentliche API-Listenpreise in USD pro 1 Mio. Tokens; die tatsächlichen Kosten für Bayer in myGenAssist können abweichen.</t>
        </is>
      </c>
    </row>
    <row r="3">
      <c r="A3" s="3" t="inlineStr">
        <is>
          <t>Gewichtung (anpassbar) →</t>
        </is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</row>
    <row r="4" ht="75" customHeight="1">
      <c r="A4" s="5" t="inlineStr">
        <is>
          <t>Rang gesamt</t>
        </is>
      </c>
      <c r="B4" s="5" t="inlineStr">
        <is>
          <t>Modell</t>
        </is>
      </c>
      <c r="C4" s="5" t="inlineStr">
        <is>
          <t>Anbieter</t>
        </is>
      </c>
      <c r="D4" s="5" t="inlineStr">
        <is>
          <t>Trainingsdaten bis</t>
        </is>
      </c>
      <c r="E4" s="5" t="inlineStr">
        <is>
          <t>Erscheinungsdatum</t>
        </is>
      </c>
      <c r="F4" s="5" t="inlineStr">
        <is>
          <t>Input $/1M</t>
        </is>
      </c>
      <c r="G4" s="5" t="inlineStr">
        <is>
          <t>Output $/1M</t>
        </is>
      </c>
      <c r="H4" s="5" t="inlineStr">
        <is>
          <t>Beispielkosten $ (1 Mio. Input + 200k Output)</t>
        </is>
      </c>
      <c r="I4" s="5" t="inlineStr">
        <is>
          <t>Hinweis Kosten</t>
        </is>
      </c>
      <c r="J4" s="5" t="inlineStr">
        <is>
          <t>Bildeingabe</t>
        </is>
      </c>
      <c r="K4" s="5" t="inlineStr">
        <is>
          <t>OCR Maschinentext aus PDF</t>
        </is>
      </c>
      <c r="L4" s="5" t="inlineStr">
        <is>
          <t>OCR Maschinentext aus Bildern</t>
        </is>
      </c>
      <c r="M4" s="5" t="inlineStr">
        <is>
          <t>OCR Handschrift aus PDF</t>
        </is>
      </c>
      <c r="N4" s="5" t="inlineStr">
        <is>
          <t>OCR Handschrift aus Bildern</t>
        </is>
      </c>
      <c r="O4" s="5" t="inlineStr">
        <is>
          <t>DOCX im Layout identisch zur PDF-Vorlage</t>
        </is>
      </c>
      <c r="P4" s="5" t="inlineStr">
        <is>
          <t>Text- &amp; Datenextraktion aus PDF (Produkt, Charge, Materialnr.)</t>
        </is>
      </c>
      <c r="Q4" s="5" t="inlineStr">
        <is>
          <t>Inhaltliche Zusammenfassung</t>
        </is>
      </c>
      <c r="R4" s="5" t="inlineStr">
        <is>
          <t>Gesamtscore (gewichtet)</t>
        </is>
      </c>
      <c r="S4" s="5" t="inlineStr">
        <is>
          <t>Preis-Leistungs-Rang</t>
        </is>
      </c>
      <c r="T4" s="5" t="inlineStr">
        <is>
          <t>Bemerkung</t>
        </is>
      </c>
      <c r="Z4" s="6" t="inlineStr">
        <is>
          <t>Hilfsspalte Score/$</t>
        </is>
      </c>
    </row>
    <row r="5">
      <c r="A5" s="7">
        <f>RANK(R5,$R$5:$R$38)</f>
        <v/>
      </c>
      <c r="B5" s="8" t="inlineStr">
        <is>
          <t>Claude Opus 4.5</t>
        </is>
      </c>
      <c r="C5" s="8" t="inlineStr">
        <is>
          <t>Anthropic</t>
        </is>
      </c>
      <c r="D5" s="7" t="inlineStr">
        <is>
          <t>Jan 2025</t>
        </is>
      </c>
      <c r="E5" s="7" t="inlineStr">
        <is>
          <t>24.11.2025</t>
        </is>
      </c>
      <c r="F5" s="9" t="n">
        <v>5</v>
      </c>
      <c r="G5" s="9" t="n">
        <v>25</v>
      </c>
      <c r="H5" s="9">
        <f>IF(OR(F5="",G5=""),"k. A.",F5+0.2*G5)</f>
        <v/>
      </c>
      <c r="I5" s="8" t="inlineStr">
        <is>
          <t>Listenpreis</t>
        </is>
      </c>
      <c r="J5" s="7" t="inlineStr">
        <is>
          <t>ja</t>
        </is>
      </c>
      <c r="K5" s="7" t="n">
        <v>7</v>
      </c>
      <c r="L5" s="7" t="n">
        <v>7</v>
      </c>
      <c r="M5" s="7" t="n">
        <v>6</v>
      </c>
      <c r="N5" s="7" t="n">
        <v>6</v>
      </c>
      <c r="O5" s="7" t="n">
        <v>8</v>
      </c>
      <c r="P5" s="7" t="n">
        <v>8</v>
      </c>
      <c r="Q5" s="7" t="n">
        <v>8</v>
      </c>
      <c r="R5" s="7">
        <f>ROUND(SUMPRODUCT(K5:Q5,$K$3:$Q$3)/SUM($K$3:$Q$3),2)</f>
        <v/>
      </c>
      <c r="S5" s="7">
        <f>IF(ISNUMBER(Z5),RANK(Z5,$Z$5:$Z$38,0),"k. A.")</f>
        <v/>
      </c>
      <c r="T5" s="8" t="inlineStr"/>
      <c r="Z5">
        <f>IF(ISNUMBER(H5),R5/H5,"")</f>
        <v/>
      </c>
    </row>
    <row r="6">
      <c r="A6" s="7">
        <f>RANK(R6,$R$5:$R$38)</f>
        <v/>
      </c>
      <c r="B6" s="8" t="inlineStr">
        <is>
          <t>Claude Opus 4.6</t>
        </is>
      </c>
      <c r="C6" s="8" t="inlineStr">
        <is>
          <t>Anthropic</t>
        </is>
      </c>
      <c r="D6" s="7" t="inlineStr">
        <is>
          <t>Mai 2025</t>
        </is>
      </c>
      <c r="E6" s="7" t="inlineStr">
        <is>
          <t>05.02.2026</t>
        </is>
      </c>
      <c r="F6" s="9" t="n">
        <v>5</v>
      </c>
      <c r="G6" s="9" t="n">
        <v>25</v>
      </c>
      <c r="H6" s="9">
        <f>IF(OR(F6="",G6=""),"k. A.",F6+0.2*G6)</f>
        <v/>
      </c>
      <c r="I6" s="8" t="inlineStr">
        <is>
          <t>Listenpreis</t>
        </is>
      </c>
      <c r="J6" s="7" t="inlineStr">
        <is>
          <t>ja</t>
        </is>
      </c>
      <c r="K6" s="7" t="n">
        <v>8</v>
      </c>
      <c r="L6" s="7" t="n">
        <v>8</v>
      </c>
      <c r="M6" s="7" t="n">
        <v>6</v>
      </c>
      <c r="N6" s="7" t="n">
        <v>6</v>
      </c>
      <c r="O6" s="7" t="n">
        <v>8</v>
      </c>
      <c r="P6" s="7" t="n">
        <v>8</v>
      </c>
      <c r="Q6" s="7" t="n">
        <v>9</v>
      </c>
      <c r="R6" s="7">
        <f>ROUND(SUMPRODUCT(K6:Q6,$K$3:$Q$3)/SUM($K$3:$Q$3),2)</f>
        <v/>
      </c>
      <c r="S6" s="7">
        <f>IF(ISNUMBER(Z6),RANK(Z6,$Z$5:$Z$38,0),"k. A.")</f>
        <v/>
      </c>
      <c r="T6" s="8" t="inlineStr"/>
      <c r="Z6">
        <f>IF(ISNUMBER(H6),R6/H6,"")</f>
        <v/>
      </c>
    </row>
    <row r="7">
      <c r="A7" s="7">
        <f>RANK(R7,$R$5:$R$38)</f>
        <v/>
      </c>
      <c r="B7" s="8" t="inlineStr">
        <is>
          <t>Claude Opus 4.7</t>
        </is>
      </c>
      <c r="C7" s="8" t="inlineStr">
        <is>
          <t>Anthropic</t>
        </is>
      </c>
      <c r="D7" s="7" t="inlineStr">
        <is>
          <t>Jan 2026</t>
        </is>
      </c>
      <c r="E7" s="7" t="inlineStr">
        <is>
          <t>16.04.2026</t>
        </is>
      </c>
      <c r="F7" s="9" t="n">
        <v>5</v>
      </c>
      <c r="G7" s="9" t="n">
        <v>25</v>
      </c>
      <c r="H7" s="9">
        <f>IF(OR(F7="",G7=""),"k. A.",F7+0.2*G7)</f>
        <v/>
      </c>
      <c r="I7" s="8" t="inlineStr">
        <is>
          <t>Listenpreis</t>
        </is>
      </c>
      <c r="J7" s="7" t="inlineStr">
        <is>
          <t>ja</t>
        </is>
      </c>
      <c r="K7" s="7" t="n">
        <v>8</v>
      </c>
      <c r="L7" s="7" t="n">
        <v>8</v>
      </c>
      <c r="M7" s="7" t="n">
        <v>7</v>
      </c>
      <c r="N7" s="7" t="n">
        <v>7</v>
      </c>
      <c r="O7" s="7" t="n">
        <v>9</v>
      </c>
      <c r="P7" s="7" t="n">
        <v>9</v>
      </c>
      <c r="Q7" s="7" t="n">
        <v>9</v>
      </c>
      <c r="R7" s="7">
        <f>ROUND(SUMPRODUCT(K7:Q7,$K$3:$Q$3)/SUM($K$3:$Q$3),2)</f>
        <v/>
      </c>
      <c r="S7" s="7">
        <f>IF(ISNUMBER(Z7),RANK(Z7,$Z$5:$Z$38,0),"k. A.")</f>
        <v/>
      </c>
      <c r="T7" s="8" t="inlineStr"/>
      <c r="Z7">
        <f>IF(ISNUMBER(H7),R7/H7,"")</f>
        <v/>
      </c>
    </row>
    <row r="8">
      <c r="A8" s="7">
        <f>RANK(R8,$R$5:$R$38)</f>
        <v/>
      </c>
      <c r="B8" s="8" t="inlineStr">
        <is>
          <t>Claude Opus 4.8</t>
        </is>
      </c>
      <c r="C8" s="8" t="inlineStr">
        <is>
          <t>Anthropic</t>
        </is>
      </c>
      <c r="D8" s="7" t="inlineStr">
        <is>
          <t>Jan 2026</t>
        </is>
      </c>
      <c r="E8" s="7" t="inlineStr">
        <is>
          <t>28.05.2026</t>
        </is>
      </c>
      <c r="F8" s="9" t="n">
        <v>5</v>
      </c>
      <c r="G8" s="9" t="n">
        <v>25</v>
      </c>
      <c r="H8" s="9">
        <f>IF(OR(F8="",G8=""),"k. A.",F8+0.2*G8)</f>
        <v/>
      </c>
      <c r="I8" s="8" t="inlineStr">
        <is>
          <t>gleicher Preis wie Opus 4.7 lt. Anthropic</t>
        </is>
      </c>
      <c r="J8" s="7" t="inlineStr">
        <is>
          <t>ja</t>
        </is>
      </c>
      <c r="K8" s="7" t="n">
        <v>9</v>
      </c>
      <c r="L8" s="7" t="n">
        <v>9</v>
      </c>
      <c r="M8" s="7" t="n">
        <v>7</v>
      </c>
      <c r="N8" s="7" t="n">
        <v>7</v>
      </c>
      <c r="O8" s="7" t="n">
        <v>9</v>
      </c>
      <c r="P8" s="7" t="n">
        <v>9</v>
      </c>
      <c r="Q8" s="7" t="n">
        <v>9</v>
      </c>
      <c r="R8" s="7">
        <f>ROUND(SUMPRODUCT(K8:Q8,$K$3:$Q$3)/SUM($K$3:$Q$3),2)</f>
        <v/>
      </c>
      <c r="S8" s="7">
        <f>IF(ISNUMBER(Z8),RANK(Z8,$Z$5:$Z$38,0),"k. A.")</f>
        <v/>
      </c>
      <c r="T8" s="8" t="inlineStr"/>
      <c r="Z8">
        <f>IF(ISNUMBER(H8),R8/H8,"")</f>
        <v/>
      </c>
    </row>
    <row r="9">
      <c r="A9" s="7">
        <f>RANK(R9,$R$5:$R$38)</f>
        <v/>
      </c>
      <c r="B9" s="8" t="inlineStr">
        <is>
          <t>Claude Opus 5</t>
        </is>
      </c>
      <c r="C9" s="8" t="inlineStr">
        <is>
          <t>Anthropic</t>
        </is>
      </c>
      <c r="D9" s="7" t="inlineStr">
        <is>
          <t>Mai 2026</t>
        </is>
      </c>
      <c r="E9" s="7" t="inlineStr">
        <is>
          <t>24.07.2026</t>
        </is>
      </c>
      <c r="F9" s="9" t="n">
        <v>5</v>
      </c>
      <c r="G9" s="9" t="n">
        <v>25</v>
      </c>
      <c r="H9" s="9">
        <f>IF(OR(F9="",G9=""),"k. A.",F9+0.2*G9)</f>
        <v/>
      </c>
      <c r="I9" s="8" t="inlineStr">
        <is>
          <t>Preis aus Sekundärquelle, nicht offiziell bestätigt</t>
        </is>
      </c>
      <c r="J9" s="7" t="inlineStr">
        <is>
          <t>ja</t>
        </is>
      </c>
      <c r="K9" s="7" t="n">
        <v>9</v>
      </c>
      <c r="L9" s="7" t="n">
        <v>9</v>
      </c>
      <c r="M9" s="7" t="n">
        <v>8</v>
      </c>
      <c r="N9" s="7" t="n">
        <v>8</v>
      </c>
      <c r="O9" s="7" t="n">
        <v>10</v>
      </c>
      <c r="P9" s="7" t="n">
        <v>9</v>
      </c>
      <c r="Q9" s="7" t="n">
        <v>10</v>
      </c>
      <c r="R9" s="7">
        <f>ROUND(SUMPRODUCT(K9:Q9,$K$3:$Q$3)/SUM($K$3:$Q$3),2)</f>
        <v/>
      </c>
      <c r="S9" s="7">
        <f>IF(ISNUMBER(Z9),RANK(Z9,$Z$5:$Z$38,0),"k. A.")</f>
        <v/>
      </c>
      <c r="T9" s="8" t="inlineStr"/>
      <c r="Z9">
        <f>IF(ISNUMBER(H9),R9/H9,"")</f>
        <v/>
      </c>
    </row>
    <row r="10">
      <c r="A10" s="7">
        <f>RANK(R10,$R$5:$R$38)</f>
        <v/>
      </c>
      <c r="B10" s="8" t="inlineStr">
        <is>
          <t>Claude Opus 5.5</t>
        </is>
      </c>
      <c r="C10" s="8" t="inlineStr">
        <is>
          <t>Anthropic</t>
        </is>
      </c>
      <c r="D10" s="7" t="inlineStr">
        <is>
          <t>Jun 2026</t>
        </is>
      </c>
      <c r="E10" s="7" t="inlineStr">
        <is>
          <t>22.09.2026</t>
        </is>
      </c>
      <c r="F10" s="9" t="n">
        <v>4</v>
      </c>
      <c r="G10" s="9" t="n">
        <v>20</v>
      </c>
      <c r="H10" s="9">
        <f>IF(OR(F10="",G10=""),"k. A.",F10+0.2*G10)</f>
        <v/>
      </c>
      <c r="I10" s="8" t="inlineStr">
        <is>
          <t>Listenpreis (20 % unter Opus 5)</t>
        </is>
      </c>
      <c r="J10" s="7" t="inlineStr">
        <is>
          <t>ja</t>
        </is>
      </c>
      <c r="K10" s="7" t="n">
        <v>9</v>
      </c>
      <c r="L10" s="7" t="n">
        <v>9</v>
      </c>
      <c r="M10" s="7" t="n">
        <v>8</v>
      </c>
      <c r="N10" s="7" t="n">
        <v>8</v>
      </c>
      <c r="O10" s="7" t="n">
        <v>10</v>
      </c>
      <c r="P10" s="7" t="n">
        <v>10</v>
      </c>
      <c r="Q10" s="7" t="n">
        <v>10</v>
      </c>
      <c r="R10" s="7">
        <f>ROUND(SUMPRODUCT(K10:Q10,$K$3:$Q$3)/SUM($K$3:$Q$3),2)</f>
        <v/>
      </c>
      <c r="S10" s="7">
        <f>IF(ISNUMBER(Z10),RANK(Z10,$Z$5:$Z$38,0),"k. A.")</f>
        <v/>
      </c>
      <c r="T10" s="8" t="inlineStr"/>
      <c r="Z10">
        <f>IF(ISNUMBER(H10),R10/H10,"")</f>
        <v/>
      </c>
    </row>
    <row r="11">
      <c r="A11" s="7">
        <f>RANK(R11,$R$5:$R$38)</f>
        <v/>
      </c>
      <c r="B11" s="8" t="inlineStr">
        <is>
          <t>Claude Sonnet 4.5</t>
        </is>
      </c>
      <c r="C11" s="8" t="inlineStr">
        <is>
          <t>Anthropic</t>
        </is>
      </c>
      <c r="D11" s="7" t="inlineStr">
        <is>
          <t>Jan 2025</t>
        </is>
      </c>
      <c r="E11" s="7" t="inlineStr">
        <is>
          <t>29.09.2025</t>
        </is>
      </c>
      <c r="F11" s="9" t="n">
        <v>3</v>
      </c>
      <c r="G11" s="9" t="n">
        <v>15</v>
      </c>
      <c r="H11" s="9">
        <f>IF(OR(F11="",G11=""),"k. A.",F11+0.2*G11)</f>
        <v/>
      </c>
      <c r="I11" s="8" t="inlineStr">
        <is>
          <t>Listenpreis (Standard-Sonnet-Preis)</t>
        </is>
      </c>
      <c r="J11" s="7" t="inlineStr">
        <is>
          <t>ja</t>
        </is>
      </c>
      <c r="K11" s="7" t="n">
        <v>7</v>
      </c>
      <c r="L11" s="7" t="n">
        <v>7</v>
      </c>
      <c r="M11" s="7" t="n">
        <v>5</v>
      </c>
      <c r="N11" s="7" t="n">
        <v>5</v>
      </c>
      <c r="O11" s="7" t="n">
        <v>7</v>
      </c>
      <c r="P11" s="7" t="n">
        <v>7</v>
      </c>
      <c r="Q11" s="7" t="n">
        <v>8</v>
      </c>
      <c r="R11" s="7">
        <f>ROUND(SUMPRODUCT(K11:Q11,$K$3:$Q$3)/SUM($K$3:$Q$3),2)</f>
        <v/>
      </c>
      <c r="S11" s="7">
        <f>IF(ISNUMBER(Z11),RANK(Z11,$Z$5:$Z$38,0),"k. A.")</f>
        <v/>
      </c>
      <c r="T11" s="8" t="inlineStr"/>
      <c r="Z11">
        <f>IF(ISNUMBER(H11),R11/H11,"")</f>
        <v/>
      </c>
    </row>
    <row r="12">
      <c r="A12" s="7">
        <f>RANK(R12,$R$5:$R$38)</f>
        <v/>
      </c>
      <c r="B12" s="8" t="inlineStr">
        <is>
          <t>Claude Sonnet 4.6</t>
        </is>
      </c>
      <c r="C12" s="8" t="inlineStr">
        <is>
          <t>Anthropic</t>
        </is>
      </c>
      <c r="D12" s="7" t="inlineStr">
        <is>
          <t>Aug 2025</t>
        </is>
      </c>
      <c r="E12" s="7" t="inlineStr">
        <is>
          <t>17.02.2026</t>
        </is>
      </c>
      <c r="F12" s="9" t="n">
        <v>3</v>
      </c>
      <c r="G12" s="9" t="n">
        <v>15</v>
      </c>
      <c r="H12" s="9">
        <f>IF(OR(F12="",G12=""),"k. A.",F12+0.2*G12)</f>
        <v/>
      </c>
      <c r="I12" s="8" t="inlineStr">
        <is>
          <t>Listenpreis (Standard-Sonnet-Preis)</t>
        </is>
      </c>
      <c r="J12" s="7" t="inlineStr">
        <is>
          <t>ja</t>
        </is>
      </c>
      <c r="K12" s="7" t="n">
        <v>7</v>
      </c>
      <c r="L12" s="7" t="n">
        <v>7</v>
      </c>
      <c r="M12" s="7" t="n">
        <v>6</v>
      </c>
      <c r="N12" s="7" t="n">
        <v>6</v>
      </c>
      <c r="O12" s="7" t="n">
        <v>8</v>
      </c>
      <c r="P12" s="7" t="n">
        <v>8</v>
      </c>
      <c r="Q12" s="7" t="n">
        <v>8</v>
      </c>
      <c r="R12" s="7">
        <f>ROUND(SUMPRODUCT(K12:Q12,$K$3:$Q$3)/SUM($K$3:$Q$3),2)</f>
        <v/>
      </c>
      <c r="S12" s="7">
        <f>IF(ISNUMBER(Z12),RANK(Z12,$Z$5:$Z$38,0),"k. A.")</f>
        <v/>
      </c>
      <c r="T12" s="8" t="inlineStr"/>
      <c r="Z12">
        <f>IF(ISNUMBER(H12),R12/H12,"")</f>
        <v/>
      </c>
    </row>
    <row r="13">
      <c r="A13" s="7">
        <f>RANK(R13,$R$5:$R$38)</f>
        <v/>
      </c>
      <c r="B13" s="8" t="inlineStr">
        <is>
          <t>Claude Sonnet 5</t>
        </is>
      </c>
      <c r="C13" s="8" t="inlineStr">
        <is>
          <t>Anthropic</t>
        </is>
      </c>
      <c r="D13" s="7" t="inlineStr">
        <is>
          <t>Jan 2026</t>
        </is>
      </c>
      <c r="E13" s="7" t="inlineStr">
        <is>
          <t>30.06.2026</t>
        </is>
      </c>
      <c r="F13" s="9" t="n">
        <v>3</v>
      </c>
      <c r="G13" s="9" t="n">
        <v>15</v>
      </c>
      <c r="H13" s="9">
        <f>IF(OR(F13="",G13=""),"k. A.",F13+0.2*G13)</f>
        <v/>
      </c>
      <c r="I13" s="8" t="inlineStr">
        <is>
          <t>widersprüchlich: 3/15 lt. Launch, 2/10 lt. Sonnet-5.5-Ankündigung</t>
        </is>
      </c>
      <c r="J13" s="7" t="inlineStr">
        <is>
          <t>ja</t>
        </is>
      </c>
      <c r="K13" s="7" t="n">
        <v>8</v>
      </c>
      <c r="L13" s="7" t="n">
        <v>8</v>
      </c>
      <c r="M13" s="7" t="n">
        <v>7</v>
      </c>
      <c r="N13" s="7" t="n">
        <v>7</v>
      </c>
      <c r="O13" s="7" t="n">
        <v>9</v>
      </c>
      <c r="P13" s="7" t="n">
        <v>9</v>
      </c>
      <c r="Q13" s="7" t="n">
        <v>9</v>
      </c>
      <c r="R13" s="7">
        <f>ROUND(SUMPRODUCT(K13:Q13,$K$3:$Q$3)/SUM($K$3:$Q$3),2)</f>
        <v/>
      </c>
      <c r="S13" s="7">
        <f>IF(ISNUMBER(Z13),RANK(Z13,$Z$5:$Z$38,0),"k. A.")</f>
        <v/>
      </c>
      <c r="T13" s="8" t="inlineStr"/>
      <c r="Z13">
        <f>IF(ISNUMBER(H13),R13/H13,"")</f>
        <v/>
      </c>
    </row>
    <row r="14">
      <c r="A14" s="7">
        <f>RANK(R14,$R$5:$R$38)</f>
        <v/>
      </c>
      <c r="B14" s="8" t="inlineStr">
        <is>
          <t>Gemini 3 Flash</t>
        </is>
      </c>
      <c r="C14" s="8" t="inlineStr">
        <is>
          <t>Google</t>
        </is>
      </c>
      <c r="D14" s="7" t="inlineStr">
        <is>
          <t>Jan 2025</t>
        </is>
      </c>
      <c r="E14" s="7" t="inlineStr">
        <is>
          <t>17.12.2025</t>
        </is>
      </c>
      <c r="F14" s="9" t="n">
        <v>0.5</v>
      </c>
      <c r="G14" s="9" t="n">
        <v>3</v>
      </c>
      <c r="H14" s="9">
        <f>IF(OR(F14="",G14=""),"k. A.",F14+0.2*G14)</f>
        <v/>
      </c>
      <c r="I14" s="8" t="inlineStr">
        <is>
          <t>Listenpreis</t>
        </is>
      </c>
      <c r="J14" s="7" t="inlineStr">
        <is>
          <t>ja</t>
        </is>
      </c>
      <c r="K14" s="7" t="n">
        <v>8</v>
      </c>
      <c r="L14" s="7" t="n">
        <v>8</v>
      </c>
      <c r="M14" s="7" t="n">
        <v>7</v>
      </c>
      <c r="N14" s="7" t="n">
        <v>7</v>
      </c>
      <c r="O14" s="7" t="n">
        <v>6</v>
      </c>
      <c r="P14" s="7" t="n">
        <v>7</v>
      </c>
      <c r="Q14" s="7" t="n">
        <v>7</v>
      </c>
      <c r="R14" s="7">
        <f>ROUND(SUMPRODUCT(K14:Q14,$K$3:$Q$3)/SUM($K$3:$Q$3),2)</f>
        <v/>
      </c>
      <c r="S14" s="7">
        <f>IF(ISNUMBER(Z14),RANK(Z14,$Z$5:$Z$38,0),"k. A.")</f>
        <v/>
      </c>
      <c r="T14" s="8" t="inlineStr"/>
      <c r="Z14">
        <f>IF(ISNUMBER(H14),R14/H14,"")</f>
        <v/>
      </c>
    </row>
    <row r="15">
      <c r="A15" s="7">
        <f>RANK(R15,$R$5:$R$38)</f>
        <v/>
      </c>
      <c r="B15" s="8" t="inlineStr">
        <is>
          <t>Gemini 3.1 Flash-Lite</t>
        </is>
      </c>
      <c r="C15" s="8" t="inlineStr">
        <is>
          <t>Google</t>
        </is>
      </c>
      <c r="D15" s="7" t="inlineStr">
        <is>
          <t>Dez 2025</t>
        </is>
      </c>
      <c r="E15" s="7" t="inlineStr">
        <is>
          <t>03.03.2026 (GA 07.05.2026)</t>
        </is>
      </c>
      <c r="F15" s="9" t="n">
        <v>0.25</v>
      </c>
      <c r="G15" s="9" t="n">
        <v>1.5</v>
      </c>
      <c r="H15" s="9">
        <f>IF(OR(F15="",G15=""),"k. A.",F15+0.2*G15)</f>
        <v/>
      </c>
      <c r="I15" s="8" t="inlineStr">
        <is>
          <t>Listenpreis</t>
        </is>
      </c>
      <c r="J15" s="7" t="inlineStr">
        <is>
          <t>ja</t>
        </is>
      </c>
      <c r="K15" s="7" t="n">
        <v>7</v>
      </c>
      <c r="L15" s="7" t="n">
        <v>7</v>
      </c>
      <c r="M15" s="7" t="n">
        <v>6</v>
      </c>
      <c r="N15" s="7" t="n">
        <v>6</v>
      </c>
      <c r="O15" s="7" t="n">
        <v>5</v>
      </c>
      <c r="P15" s="7" t="n">
        <v>6</v>
      </c>
      <c r="Q15" s="7" t="n">
        <v>6</v>
      </c>
      <c r="R15" s="7">
        <f>ROUND(SUMPRODUCT(K15:Q15,$K$3:$Q$3)/SUM($K$3:$Q$3),2)</f>
        <v/>
      </c>
      <c r="S15" s="7">
        <f>IF(ISNUMBER(Z15),RANK(Z15,$Z$5:$Z$38,0),"k. A.")</f>
        <v/>
      </c>
      <c r="T15" s="8" t="inlineStr"/>
      <c r="Z15">
        <f>IF(ISNUMBER(H15),R15/H15,"")</f>
        <v/>
      </c>
    </row>
    <row r="16">
      <c r="A16" s="7">
        <f>RANK(R16,$R$5:$R$38)</f>
        <v/>
      </c>
      <c r="B16" s="8" t="inlineStr">
        <is>
          <t>Gemini 3.1 Pro</t>
        </is>
      </c>
      <c r="C16" s="8" t="inlineStr">
        <is>
          <t>Google</t>
        </is>
      </c>
      <c r="D16" s="7" t="inlineStr">
        <is>
          <t>Dez 2025</t>
        </is>
      </c>
      <c r="E16" s="7" t="inlineStr">
        <is>
          <t>19.02.2026</t>
        </is>
      </c>
      <c r="F16" s="9" t="n">
        <v>2</v>
      </c>
      <c r="G16" s="9" t="n">
        <v>12</v>
      </c>
      <c r="H16" s="9">
        <f>IF(OR(F16="",G16=""),"k. A.",F16+0.2*G16)</f>
        <v/>
      </c>
      <c r="I16" s="8" t="inlineStr">
        <is>
          <t>Listenpreis (bis 200k Kontext)</t>
        </is>
      </c>
      <c r="J16" s="7" t="inlineStr">
        <is>
          <t>ja</t>
        </is>
      </c>
      <c r="K16" s="7" t="n">
        <v>9</v>
      </c>
      <c r="L16" s="7" t="n">
        <v>9</v>
      </c>
      <c r="M16" s="7" t="n">
        <v>8</v>
      </c>
      <c r="N16" s="7" t="n">
        <v>8</v>
      </c>
      <c r="O16" s="7" t="n">
        <v>7</v>
      </c>
      <c r="P16" s="7" t="n">
        <v>8</v>
      </c>
      <c r="Q16" s="7" t="n">
        <v>8</v>
      </c>
      <c r="R16" s="7">
        <f>ROUND(SUMPRODUCT(K16:Q16,$K$3:$Q$3)/SUM($K$3:$Q$3),2)</f>
        <v/>
      </c>
      <c r="S16" s="7">
        <f>IF(ISNUMBER(Z16),RANK(Z16,$Z$5:$Z$38,0),"k. A.")</f>
        <v/>
      </c>
      <c r="T16" s="8" t="inlineStr">
        <is>
          <t>Externer OCR-Benchmark: ca. 90,3 (vor GPT-5.4 mit ca. 85,8)</t>
        </is>
      </c>
      <c r="Z16">
        <f>IF(ISNUMBER(H16),R16/H16,"")</f>
        <v/>
      </c>
    </row>
    <row r="17">
      <c r="A17" s="7">
        <f>RANK(R17,$R$5:$R$38)</f>
        <v/>
      </c>
      <c r="B17" s="8" t="inlineStr">
        <is>
          <t>Gemini 3.5 Flash-Lite</t>
        </is>
      </c>
      <c r="C17" s="8" t="inlineStr">
        <is>
          <t>Google</t>
        </is>
      </c>
      <c r="D17" s="7" t="inlineStr">
        <is>
          <t>Jul 2025</t>
        </is>
      </c>
      <c r="E17" s="7" t="inlineStr">
        <is>
          <t>21.07.2026</t>
        </is>
      </c>
      <c r="F17" s="9" t="n">
        <v>0.3</v>
      </c>
      <c r="G17" s="9" t="n"/>
      <c r="H17" s="9">
        <f>IF(OR(F17="",G17=""),"k. A.",F17+0.2*G17)</f>
        <v/>
      </c>
      <c r="I17" s="8" t="inlineStr">
        <is>
          <t>Output-Preis nicht ermittelt</t>
        </is>
      </c>
      <c r="J17" s="7" t="inlineStr">
        <is>
          <t>ja</t>
        </is>
      </c>
      <c r="K17" s="7" t="n">
        <v>7</v>
      </c>
      <c r="L17" s="7" t="n">
        <v>7</v>
      </c>
      <c r="M17" s="7" t="n">
        <v>6</v>
      </c>
      <c r="N17" s="7" t="n">
        <v>6</v>
      </c>
      <c r="O17" s="7" t="n">
        <v>5</v>
      </c>
      <c r="P17" s="7" t="n">
        <v>6</v>
      </c>
      <c r="Q17" s="7" t="n">
        <v>6</v>
      </c>
      <c r="R17" s="7">
        <f>ROUND(SUMPRODUCT(K17:Q17,$K$3:$Q$3)/SUM($K$3:$Q$3),2)</f>
        <v/>
      </c>
      <c r="S17" s="7">
        <f>IF(ISNUMBER(Z17),RANK(Z17,$Z$5:$Z$38,0),"k. A.")</f>
        <v/>
      </c>
      <c r="T17" s="8" t="inlineStr"/>
      <c r="Z17">
        <f>IF(ISNUMBER(H17),R17/H17,"")</f>
        <v/>
      </c>
    </row>
    <row r="18">
      <c r="A18" s="7">
        <f>RANK(R18,$R$5:$R$38)</f>
        <v/>
      </c>
      <c r="B18" s="8" t="inlineStr">
        <is>
          <t>Gemini 3.6 Flash</t>
        </is>
      </c>
      <c r="C18" s="8" t="inlineStr">
        <is>
          <t>Google</t>
        </is>
      </c>
      <c r="D18" s="7" t="inlineStr">
        <is>
          <t>Jul 2025</t>
        </is>
      </c>
      <c r="E18" s="7" t="inlineStr">
        <is>
          <t>21.07.2026</t>
        </is>
      </c>
      <c r="F18" s="9" t="n">
        <v>0.75</v>
      </c>
      <c r="G18" s="9" t="n">
        <v>3.75</v>
      </c>
      <c r="H18" s="9">
        <f>IF(OR(F18="",G18=""),"k. A.",F18+0.2*G18)</f>
        <v/>
      </c>
      <c r="I18" s="8" t="inlineStr">
        <is>
          <t>Einführungspreis (Listenpreis 1,50/7,50)</t>
        </is>
      </c>
      <c r="J18" s="7" t="inlineStr">
        <is>
          <t>ja</t>
        </is>
      </c>
      <c r="K18" s="7" t="n">
        <v>9</v>
      </c>
      <c r="L18" s="7" t="n">
        <v>9</v>
      </c>
      <c r="M18" s="7" t="n">
        <v>8</v>
      </c>
      <c r="N18" s="7" t="n">
        <v>8</v>
      </c>
      <c r="O18" s="7" t="n">
        <v>7</v>
      </c>
      <c r="P18" s="7" t="n">
        <v>8</v>
      </c>
      <c r="Q18" s="7" t="n">
        <v>8</v>
      </c>
      <c r="R18" s="7">
        <f>ROUND(SUMPRODUCT(K18:Q18,$K$3:$Q$3)/SUM($K$3:$Q$3),2)</f>
        <v/>
      </c>
      <c r="S18" s="7">
        <f>IF(ISNUMBER(Z18),RANK(Z18,$Z$5:$Z$38,0),"k. A.")</f>
        <v/>
      </c>
      <c r="T18" s="8" t="inlineStr"/>
      <c r="Z18">
        <f>IF(ISNUMBER(H18),R18/H18,"")</f>
        <v/>
      </c>
    </row>
    <row r="19">
      <c r="A19" s="7">
        <f>RANK(R19,$R$5:$R$38)</f>
        <v/>
      </c>
      <c r="B19" s="8" t="inlineStr">
        <is>
          <t>Gemini 3.8 Flash</t>
        </is>
      </c>
      <c r="C19" s="8" t="inlineStr">
        <is>
          <t>Google</t>
        </is>
      </c>
      <c r="D19" s="7" t="inlineStr">
        <is>
          <t>Mär 2026</t>
        </is>
      </c>
      <c r="E19" s="7" t="inlineStr">
        <is>
          <t>02.09.2026</t>
        </is>
      </c>
      <c r="F19" s="9" t="n">
        <v>0.75</v>
      </c>
      <c r="G19" s="9" t="n">
        <v>3.75</v>
      </c>
      <c r="H19" s="9">
        <f>IF(OR(F19="",G19=""),"k. A.",F19+0.2*G19)</f>
        <v/>
      </c>
      <c r="I19" s="8" t="inlineStr">
        <is>
          <t>Einführungspreis</t>
        </is>
      </c>
      <c r="J19" s="7" t="inlineStr">
        <is>
          <t>ja</t>
        </is>
      </c>
      <c r="K19" s="7" t="n">
        <v>9</v>
      </c>
      <c r="L19" s="7" t="n">
        <v>9</v>
      </c>
      <c r="M19" s="7" t="n">
        <v>9</v>
      </c>
      <c r="N19" s="7" t="n">
        <v>9</v>
      </c>
      <c r="O19" s="7" t="n">
        <v>7</v>
      </c>
      <c r="P19" s="7" t="n">
        <v>9</v>
      </c>
      <c r="Q19" s="7" t="n">
        <v>8</v>
      </c>
      <c r="R19" s="7">
        <f>ROUND(SUMPRODUCT(K19:Q19,$K$3:$Q$3)/SUM($K$3:$Q$3),2)</f>
        <v/>
      </c>
      <c r="S19" s="7">
        <f>IF(ISNUMBER(Z19),RANK(Z19,$Z$5:$Z$38,0),"k. A.")</f>
        <v/>
      </c>
      <c r="T19" s="8" t="inlineStr"/>
      <c r="Z19">
        <f>IF(ISNUMBER(H19),R19/H19,"")</f>
        <v/>
      </c>
    </row>
    <row r="20">
      <c r="A20" s="7">
        <f>RANK(R20,$R$5:$R$38)</f>
        <v/>
      </c>
      <c r="B20" s="8" t="inlineStr">
        <is>
          <t>Kimi K3</t>
        </is>
      </c>
      <c r="C20" s="8" t="inlineStr">
        <is>
          <t>Moonshot AI</t>
        </is>
      </c>
      <c r="D20" s="7" t="inlineStr">
        <is>
          <t>2025</t>
        </is>
      </c>
      <c r="E20" s="7" t="inlineStr">
        <is>
          <t>16.07.2026</t>
        </is>
      </c>
      <c r="F20" s="9" t="n">
        <v>3</v>
      </c>
      <c r="G20" s="9" t="n">
        <v>15</v>
      </c>
      <c r="H20" s="9">
        <f>IF(OR(F20="",G20=""),"k. A.",F20+0.2*G20)</f>
        <v/>
      </c>
      <c r="I20" s="8" t="inlineStr">
        <is>
          <t>Listenpreis Moonshot-API</t>
        </is>
      </c>
      <c r="J20" s="7" t="inlineStr">
        <is>
          <t>nicht bestätigt</t>
        </is>
      </c>
      <c r="K20" s="7" t="n">
        <v>7</v>
      </c>
      <c r="L20" s="7" t="n">
        <v>7</v>
      </c>
      <c r="M20" s="7" t="n">
        <v>5</v>
      </c>
      <c r="N20" s="7" t="n">
        <v>5</v>
      </c>
      <c r="O20" s="7" t="n">
        <v>7</v>
      </c>
      <c r="P20" s="7" t="n">
        <v>8</v>
      </c>
      <c r="Q20" s="7" t="n">
        <v>8</v>
      </c>
      <c r="R20" s="7">
        <f>ROUND(SUMPRODUCT(K20:Q20,$K$3:$Q$3)/SUM($K$3:$Q$3),2)</f>
        <v/>
      </c>
      <c r="S20" s="7">
        <f>IF(ISNUMBER(Z20),RANK(Z20,$Z$5:$Z$38,0),"k. A.")</f>
        <v/>
      </c>
      <c r="T20" s="8" t="inlineStr">
        <is>
          <t>Open-Weight-Modell (2,8 Bio. Parameter)</t>
        </is>
      </c>
      <c r="Z20">
        <f>IF(ISNUMBER(H20),R20/H20,"")</f>
        <v/>
      </c>
    </row>
    <row r="21">
      <c r="A21" s="7">
        <f>RANK(R21,$R$5:$R$38)</f>
        <v/>
      </c>
      <c r="B21" s="8" t="inlineStr">
        <is>
          <t>GPT-5.1</t>
        </is>
      </c>
      <c r="C21" s="8" t="inlineStr">
        <is>
          <t>OpenAI</t>
        </is>
      </c>
      <c r="D21" s="7" t="inlineStr">
        <is>
          <t>Okt 2025</t>
        </is>
      </c>
      <c r="E21" s="7" t="inlineStr">
        <is>
          <t>Nov 2025</t>
        </is>
      </c>
      <c r="F21" s="9" t="n">
        <v>1.25</v>
      </c>
      <c r="G21" s="9" t="n">
        <v>10</v>
      </c>
      <c r="H21" s="9">
        <f>IF(OR(F21="",G21=""),"k. A.",F21+0.2*G21)</f>
        <v/>
      </c>
      <c r="I21" s="8" t="inlineStr">
        <is>
          <t>Listenpreis</t>
        </is>
      </c>
      <c r="J21" s="7" t="inlineStr">
        <is>
          <t>ja</t>
        </is>
      </c>
      <c r="K21" s="7" t="n">
        <v>7</v>
      </c>
      <c r="L21" s="7" t="n">
        <v>7</v>
      </c>
      <c r="M21" s="7" t="n">
        <v>6</v>
      </c>
      <c r="N21" s="7" t="n">
        <v>6</v>
      </c>
      <c r="O21" s="7" t="n">
        <v>7</v>
      </c>
      <c r="P21" s="7" t="n">
        <v>7</v>
      </c>
      <c r="Q21" s="7" t="n">
        <v>7</v>
      </c>
      <c r="R21" s="7">
        <f>ROUND(SUMPRODUCT(K21:Q21,$K$3:$Q$3)/SUM($K$3:$Q$3),2)</f>
        <v/>
      </c>
      <c r="S21" s="7">
        <f>IF(ISNUMBER(Z21),RANK(Z21,$Z$5:$Z$38,0),"k. A.")</f>
        <v/>
      </c>
      <c r="T21" s="8" t="inlineStr"/>
      <c r="Z21">
        <f>IF(ISNUMBER(H21),R21/H21,"")</f>
        <v/>
      </c>
    </row>
    <row r="22">
      <c r="A22" s="7">
        <f>RANK(R22,$R$5:$R$38)</f>
        <v/>
      </c>
      <c r="B22" s="8" t="inlineStr">
        <is>
          <t>GPT-5.2</t>
        </is>
      </c>
      <c r="C22" s="8" t="inlineStr">
        <is>
          <t>OpenAI</t>
        </is>
      </c>
      <c r="D22" s="7" t="inlineStr">
        <is>
          <t>Dez 2025</t>
        </is>
      </c>
      <c r="E22" s="7" t="inlineStr">
        <is>
          <t>11.12.2025</t>
        </is>
      </c>
      <c r="F22" s="9" t="n">
        <v>1.75</v>
      </c>
      <c r="G22" s="9" t="n">
        <v>14</v>
      </c>
      <c r="H22" s="9">
        <f>IF(OR(F22="",G22=""),"k. A.",F22+0.2*G22)</f>
        <v/>
      </c>
      <c r="I22" s="8" t="inlineStr">
        <is>
          <t>Listenpreis</t>
        </is>
      </c>
      <c r="J22" s="7" t="inlineStr">
        <is>
          <t>ja</t>
        </is>
      </c>
      <c r="K22" s="7" t="n">
        <v>8</v>
      </c>
      <c r="L22" s="7" t="n">
        <v>8</v>
      </c>
      <c r="M22" s="7" t="n">
        <v>6</v>
      </c>
      <c r="N22" s="7" t="n">
        <v>6</v>
      </c>
      <c r="O22" s="7" t="n">
        <v>7</v>
      </c>
      <c r="P22" s="7" t="n">
        <v>8</v>
      </c>
      <c r="Q22" s="7" t="n">
        <v>8</v>
      </c>
      <c r="R22" s="7">
        <f>ROUND(SUMPRODUCT(K22:Q22,$K$3:$Q$3)/SUM($K$3:$Q$3),2)</f>
        <v/>
      </c>
      <c r="S22" s="7">
        <f>IF(ISNUMBER(Z22),RANK(Z22,$Z$5:$Z$38,0),"k. A.")</f>
        <v/>
      </c>
      <c r="T22" s="8" t="inlineStr"/>
      <c r="Z22">
        <f>IF(ISNUMBER(H22),R22/H22,"")</f>
        <v/>
      </c>
    </row>
    <row r="23">
      <c r="A23" s="7">
        <f>RANK(R23,$R$5:$R$38)</f>
        <v/>
      </c>
      <c r="B23" s="8" t="inlineStr">
        <is>
          <t>GPT-5.4</t>
        </is>
      </c>
      <c r="C23" s="8" t="inlineStr">
        <is>
          <t>OpenAI</t>
        </is>
      </c>
      <c r="D23" s="7" t="inlineStr">
        <is>
          <t>Okt 2025</t>
        </is>
      </c>
      <c r="E23" s="7" t="inlineStr">
        <is>
          <t>05.03.2026</t>
        </is>
      </c>
      <c r="F23" s="9" t="n">
        <v>2.5</v>
      </c>
      <c r="G23" s="9" t="n">
        <v>15</v>
      </c>
      <c r="H23" s="9">
        <f>IF(OR(F23="",G23=""),"k. A.",F23+0.2*G23)</f>
        <v/>
      </c>
      <c r="I23" s="8" t="inlineStr">
        <is>
          <t>Listenpreis; in myGenAssist kostenlos, solange das gemeinsame Kontingent reicht</t>
        </is>
      </c>
      <c r="J23" s="7" t="inlineStr">
        <is>
          <t>ja</t>
        </is>
      </c>
      <c r="K23" s="7" t="n">
        <v>8</v>
      </c>
      <c r="L23" s="7" t="n">
        <v>8</v>
      </c>
      <c r="M23" s="7" t="n">
        <v>7</v>
      </c>
      <c r="N23" s="7" t="n">
        <v>7</v>
      </c>
      <c r="O23" s="7" t="n">
        <v>8</v>
      </c>
      <c r="P23" s="7" t="n">
        <v>8</v>
      </c>
      <c r="Q23" s="7" t="n">
        <v>8</v>
      </c>
      <c r="R23" s="7">
        <f>ROUND(SUMPRODUCT(K23:Q23,$K$3:$Q$3)/SUM($K$3:$Q$3),2)</f>
        <v/>
      </c>
      <c r="S23" s="7">
        <f>IF(ISNUMBER(Z23),RANK(Z23,$Z$5:$Z$38,0),"k. A.")</f>
        <v/>
      </c>
      <c r="T23" s="8" t="inlineStr"/>
      <c r="Z23">
        <f>IF(ISNUMBER(H23),R23/H23,"")</f>
        <v/>
      </c>
    </row>
    <row r="24">
      <c r="A24" s="7">
        <f>RANK(R24,$R$5:$R$38)</f>
        <v/>
      </c>
      <c r="B24" s="8" t="inlineStr">
        <is>
          <t>GPT-5.4 Pro</t>
        </is>
      </c>
      <c r="C24" s="8" t="inlineStr">
        <is>
          <t>OpenAI</t>
        </is>
      </c>
      <c r="D24" s="7" t="inlineStr">
        <is>
          <t>Aug 2025</t>
        </is>
      </c>
      <c r="E24" s="7" t="inlineStr">
        <is>
          <t>05.03.2026</t>
        </is>
      </c>
      <c r="F24" s="9" t="n"/>
      <c r="G24" s="9" t="n"/>
      <c r="H24" s="9">
        <f>IF(OR(F24="",G24=""),"k. A.",F24+0.2*G24)</f>
        <v/>
      </c>
      <c r="I24" s="8" t="inlineStr">
        <is>
          <t>Preis nicht ermittelt (deutlich teurer als GPT-5.4)</t>
        </is>
      </c>
      <c r="J24" s="7" t="inlineStr">
        <is>
          <t>ja</t>
        </is>
      </c>
      <c r="K24" s="7" t="n">
        <v>9</v>
      </c>
      <c r="L24" s="7" t="n">
        <v>9</v>
      </c>
      <c r="M24" s="7" t="n">
        <v>7</v>
      </c>
      <c r="N24" s="7" t="n">
        <v>7</v>
      </c>
      <c r="O24" s="7" t="n">
        <v>8</v>
      </c>
      <c r="P24" s="7" t="n">
        <v>9</v>
      </c>
      <c r="Q24" s="7" t="n">
        <v>9</v>
      </c>
      <c r="R24" s="7">
        <f>ROUND(SUMPRODUCT(K24:Q24,$K$3:$Q$3)/SUM($K$3:$Q$3),2)</f>
        <v/>
      </c>
      <c r="S24" s="7">
        <f>IF(ISNUMBER(Z24),RANK(Z24,$Z$5:$Z$38,0),"k. A.")</f>
        <v/>
      </c>
      <c r="T24" s="8" t="inlineStr"/>
      <c r="Z24">
        <f>IF(ISNUMBER(H24),R24/H24,"")</f>
        <v/>
      </c>
    </row>
    <row r="25">
      <c r="A25" s="7">
        <f>RANK(R25,$R$5:$R$38)</f>
        <v/>
      </c>
      <c r="B25" s="8" t="inlineStr">
        <is>
          <t>GPT-5.5</t>
        </is>
      </c>
      <c r="C25" s="8" t="inlineStr">
        <is>
          <t>OpenAI</t>
        </is>
      </c>
      <c r="D25" s="7" t="inlineStr">
        <is>
          <t>Okt 2025</t>
        </is>
      </c>
      <c r="E25" s="7" t="inlineStr">
        <is>
          <t>23.04.2026</t>
        </is>
      </c>
      <c r="F25" s="9" t="n">
        <v>5</v>
      </c>
      <c r="G25" s="9" t="n">
        <v>30</v>
      </c>
      <c r="H25" s="9">
        <f>IF(OR(F25="",G25=""),"k. A.",F25+0.2*G25)</f>
        <v/>
      </c>
      <c r="I25" s="8" t="inlineStr">
        <is>
          <t>Listenpreis</t>
        </is>
      </c>
      <c r="J25" s="7" t="inlineStr">
        <is>
          <t>ja</t>
        </is>
      </c>
      <c r="K25" s="7" t="n">
        <v>9</v>
      </c>
      <c r="L25" s="7" t="n">
        <v>9</v>
      </c>
      <c r="M25" s="7" t="n">
        <v>8</v>
      </c>
      <c r="N25" s="7" t="n">
        <v>8</v>
      </c>
      <c r="O25" s="7" t="n">
        <v>8</v>
      </c>
      <c r="P25" s="7" t="n">
        <v>9</v>
      </c>
      <c r="Q25" s="7" t="n">
        <v>9</v>
      </c>
      <c r="R25" s="7">
        <f>ROUND(SUMPRODUCT(K25:Q25,$K$3:$Q$3)/SUM($K$3:$Q$3),2)</f>
        <v/>
      </c>
      <c r="S25" s="7">
        <f>IF(ISNUMBER(Z25),RANK(Z25,$Z$5:$Z$38,0),"k. A.")</f>
        <v/>
      </c>
      <c r="T25" s="8" t="inlineStr"/>
      <c r="Z25">
        <f>IF(ISNUMBER(H25),R25/H25,"")</f>
        <v/>
      </c>
    </row>
    <row r="26">
      <c r="A26" s="7">
        <f>RANK(R26,$R$5:$R$38)</f>
        <v/>
      </c>
      <c r="B26" s="8" t="inlineStr">
        <is>
          <t>GPT-5.6 Luna</t>
        </is>
      </c>
      <c r="C26" s="8" t="inlineStr">
        <is>
          <t>OpenAI</t>
        </is>
      </c>
      <c r="D26" s="7" t="inlineStr">
        <is>
          <t>Okt 2025</t>
        </is>
      </c>
      <c r="E26" s="7" t="inlineStr">
        <is>
          <t>09.07.2026</t>
        </is>
      </c>
      <c r="F26" s="9" t="n">
        <v>0.2</v>
      </c>
      <c r="G26" s="9" t="n">
        <v>1.2</v>
      </c>
      <c r="H26" s="9">
        <f>IF(OR(F26="",G26=""),"k. A.",F26+0.2*G26)</f>
        <v/>
      </c>
      <c r="I26" s="8" t="inlineStr">
        <is>
          <t>nach Preissenkung am 30.07.2026 (vorher 1/6)</t>
        </is>
      </c>
      <c r="J26" s="7" t="inlineStr">
        <is>
          <t>ja</t>
        </is>
      </c>
      <c r="K26" s="7" t="n">
        <v>7</v>
      </c>
      <c r="L26" s="7" t="n">
        <v>7</v>
      </c>
      <c r="M26" s="7" t="n">
        <v>6</v>
      </c>
      <c r="N26" s="7" t="n">
        <v>6</v>
      </c>
      <c r="O26" s="7" t="n">
        <v>6</v>
      </c>
      <c r="P26" s="7" t="n">
        <v>7</v>
      </c>
      <c r="Q26" s="7" t="n">
        <v>7</v>
      </c>
      <c r="R26" s="7">
        <f>ROUND(SUMPRODUCT(K26:Q26,$K$3:$Q$3)/SUM($K$3:$Q$3),2)</f>
        <v/>
      </c>
      <c r="S26" s="7">
        <f>IF(ISNUMBER(Z26),RANK(Z26,$Z$5:$Z$38,0),"k. A.")</f>
        <v/>
      </c>
      <c r="T26" s="8" t="inlineStr"/>
      <c r="Z26">
        <f>IF(ISNUMBER(H26),R26/H26,"")</f>
        <v/>
      </c>
    </row>
    <row r="27">
      <c r="A27" s="7">
        <f>RANK(R27,$R$5:$R$38)</f>
        <v/>
      </c>
      <c r="B27" s="8" t="inlineStr">
        <is>
          <t>GPT-5.6 Sol</t>
        </is>
      </c>
      <c r="C27" s="8" t="inlineStr">
        <is>
          <t>OpenAI</t>
        </is>
      </c>
      <c r="D27" s="7" t="inlineStr">
        <is>
          <t>Okt 2025</t>
        </is>
      </c>
      <c r="E27" s="7" t="inlineStr">
        <is>
          <t>09.07.2026</t>
        </is>
      </c>
      <c r="F27" s="9" t="n">
        <v>4</v>
      </c>
      <c r="G27" s="9" t="n">
        <v>20</v>
      </c>
      <c r="H27" s="9">
        <f>IF(OR(F27="",G27=""),"k. A.",F27+0.2*G27)</f>
        <v/>
      </c>
      <c r="I27" s="8" t="inlineStr">
        <is>
          <t>Aktionspreis (Launch: 5/30)</t>
        </is>
      </c>
      <c r="J27" s="7" t="inlineStr">
        <is>
          <t>ja</t>
        </is>
      </c>
      <c r="K27" s="7" t="n">
        <v>9</v>
      </c>
      <c r="L27" s="7" t="n">
        <v>9</v>
      </c>
      <c r="M27" s="7" t="n">
        <v>8</v>
      </c>
      <c r="N27" s="7" t="n">
        <v>8</v>
      </c>
      <c r="O27" s="7" t="n">
        <v>9</v>
      </c>
      <c r="P27" s="7" t="n">
        <v>9</v>
      </c>
      <c r="Q27" s="7" t="n">
        <v>9</v>
      </c>
      <c r="R27" s="7">
        <f>ROUND(SUMPRODUCT(K27:Q27,$K$3:$Q$3)/SUM($K$3:$Q$3),2)</f>
        <v/>
      </c>
      <c r="S27" s="7">
        <f>IF(ISNUMBER(Z27),RANK(Z27,$Z$5:$Z$38,0),"k. A.")</f>
        <v/>
      </c>
      <c r="T27" s="8" t="inlineStr"/>
      <c r="Z27">
        <f>IF(ISNUMBER(H27),R27/H27,"")</f>
        <v/>
      </c>
    </row>
    <row r="28">
      <c r="A28" s="7">
        <f>RANK(R28,$R$5:$R$38)</f>
        <v/>
      </c>
      <c r="B28" s="8" t="inlineStr">
        <is>
          <t>GPT-5.6 Terra</t>
        </is>
      </c>
      <c r="C28" s="8" t="inlineStr">
        <is>
          <t>OpenAI</t>
        </is>
      </c>
      <c r="D28" s="7" t="inlineStr">
        <is>
          <t>Okt 2025</t>
        </is>
      </c>
      <c r="E28" s="7" t="inlineStr">
        <is>
          <t>09.07.2026</t>
        </is>
      </c>
      <c r="F28" s="9" t="n">
        <v>2</v>
      </c>
      <c r="G28" s="9" t="n">
        <v>12</v>
      </c>
      <c r="H28" s="9">
        <f>IF(OR(F28="",G28=""),"k. A.",F28+0.2*G28)</f>
        <v/>
      </c>
      <c r="I28" s="8" t="inlineStr">
        <is>
          <t>nach 20 % Senkung (vorher 2,50/15); in myGenAssist kostenlos, solange das gemeinsame Kontingent reicht</t>
        </is>
      </c>
      <c r="J28" s="7" t="inlineStr">
        <is>
          <t>ja</t>
        </is>
      </c>
      <c r="K28" s="7" t="n">
        <v>8</v>
      </c>
      <c r="L28" s="7" t="n">
        <v>8</v>
      </c>
      <c r="M28" s="7" t="n">
        <v>7</v>
      </c>
      <c r="N28" s="7" t="n">
        <v>7</v>
      </c>
      <c r="O28" s="7" t="n">
        <v>8</v>
      </c>
      <c r="P28" s="7" t="n">
        <v>8</v>
      </c>
      <c r="Q28" s="7" t="n">
        <v>8</v>
      </c>
      <c r="R28" s="7">
        <f>ROUND(SUMPRODUCT(K28:Q28,$K$3:$Q$3)/SUM($K$3:$Q$3),2)</f>
        <v/>
      </c>
      <c r="S28" s="7">
        <f>IF(ISNUMBER(Z28),RANK(Z28,$Z$5:$Z$38,0),"k. A.")</f>
        <v/>
      </c>
      <c r="T28" s="8" t="inlineStr"/>
      <c r="Z28">
        <f>IF(ISNUMBER(H28),R28/H28,"")</f>
        <v/>
      </c>
    </row>
    <row r="29">
      <c r="A29" s="7">
        <f>RANK(R29,$R$5:$R$38)</f>
        <v/>
      </c>
      <c r="B29" s="8" t="inlineStr">
        <is>
          <t>GPT-6 Astra</t>
        </is>
      </c>
      <c r="C29" s="8" t="inlineStr">
        <is>
          <t>OpenAI</t>
        </is>
      </c>
      <c r="D29" s="7" t="inlineStr">
        <is>
          <t>30.04.2026</t>
        </is>
      </c>
      <c r="E29" s="7" t="inlineStr">
        <is>
          <t>Anfang Sep 2026</t>
        </is>
      </c>
      <c r="F29" s="9" t="n">
        <v>10</v>
      </c>
      <c r="G29" s="9" t="n">
        <v>50</v>
      </c>
      <c r="H29" s="9">
        <f>IF(OR(F29="",G29=""),"k. A.",F29+0.2*G29)</f>
        <v/>
      </c>
      <c r="I29" s="8" t="inlineStr">
        <is>
          <t>Listenpreis</t>
        </is>
      </c>
      <c r="J29" s="7" t="inlineStr">
        <is>
          <t>ja</t>
        </is>
      </c>
      <c r="K29" s="7" t="n">
        <v>10</v>
      </c>
      <c r="L29" s="7" t="n">
        <v>10</v>
      </c>
      <c r="M29" s="7" t="n">
        <v>9</v>
      </c>
      <c r="N29" s="7" t="n">
        <v>9</v>
      </c>
      <c r="O29" s="7" t="n">
        <v>9</v>
      </c>
      <c r="P29" s="7" t="n">
        <v>10</v>
      </c>
      <c r="Q29" s="7" t="n">
        <v>10</v>
      </c>
      <c r="R29" s="7">
        <f>ROUND(SUMPRODUCT(K29:Q29,$K$3:$Q$3)/SUM($K$3:$Q$3),2)</f>
        <v/>
      </c>
      <c r="S29" s="7">
        <f>IF(ISNUMBER(Z29),RANK(Z29,$Z$5:$Z$38,0),"k. A.")</f>
        <v/>
      </c>
      <c r="T29" s="8" t="inlineStr"/>
      <c r="Z29">
        <f>IF(ISNUMBER(H29),R29/H29,"")</f>
        <v/>
      </c>
    </row>
    <row r="30">
      <c r="A30" s="7">
        <f>RANK(R30,$R$5:$R$38)</f>
        <v/>
      </c>
      <c r="B30" s="8" t="inlineStr">
        <is>
          <t>GPT-6 Luna</t>
        </is>
      </c>
      <c r="C30" s="8" t="inlineStr">
        <is>
          <t>OpenAI</t>
        </is>
      </c>
      <c r="D30" s="7" t="inlineStr">
        <is>
          <t>18.05.2026</t>
        </is>
      </c>
      <c r="E30" s="7" t="inlineStr">
        <is>
          <t>22.09.2026</t>
        </is>
      </c>
      <c r="F30" s="9" t="n">
        <v>0.1</v>
      </c>
      <c r="G30" s="9" t="n">
        <v>0.5</v>
      </c>
      <c r="H30" s="9">
        <f>IF(OR(F30="",G30=""),"k. A.",F30+0.2*G30)</f>
        <v/>
      </c>
      <c r="I30" s="8" t="inlineStr">
        <is>
          <t>Listenpreis</t>
        </is>
      </c>
      <c r="J30" s="7" t="inlineStr">
        <is>
          <t>ja</t>
        </is>
      </c>
      <c r="K30" s="7" t="n">
        <v>8</v>
      </c>
      <c r="L30" s="7" t="n">
        <v>8</v>
      </c>
      <c r="M30" s="7" t="n">
        <v>7</v>
      </c>
      <c r="N30" s="7" t="n">
        <v>7</v>
      </c>
      <c r="O30" s="7" t="n">
        <v>7</v>
      </c>
      <c r="P30" s="7" t="n">
        <v>8</v>
      </c>
      <c r="Q30" s="7" t="n">
        <v>8</v>
      </c>
      <c r="R30" s="7">
        <f>ROUND(SUMPRODUCT(K30:Q30,$K$3:$Q$3)/SUM($K$3:$Q$3),2)</f>
        <v/>
      </c>
      <c r="S30" s="7">
        <f>IF(ISNUMBER(Z30),RANK(Z30,$Z$5:$Z$38,0),"k. A.")</f>
        <v/>
      </c>
      <c r="T30" s="8" t="inlineStr"/>
      <c r="Z30">
        <f>IF(ISNUMBER(H30),R30/H30,"")</f>
        <v/>
      </c>
    </row>
    <row r="31">
      <c r="A31" s="7">
        <f>RANK(R31,$R$5:$R$38)</f>
        <v/>
      </c>
      <c r="B31" s="8" t="inlineStr">
        <is>
          <t>GPT-6 Sol</t>
        </is>
      </c>
      <c r="C31" s="8" t="inlineStr">
        <is>
          <t>OpenAI</t>
        </is>
      </c>
      <c r="D31" s="7" t="inlineStr">
        <is>
          <t>20.04.2026</t>
        </is>
      </c>
      <c r="E31" s="7" t="inlineStr">
        <is>
          <t>22.09.2026</t>
        </is>
      </c>
      <c r="F31" s="9" t="n">
        <v>2</v>
      </c>
      <c r="G31" s="9" t="n">
        <v>10</v>
      </c>
      <c r="H31" s="9">
        <f>IF(OR(F31="",G31=""),"k. A.",F31+0.2*G31)</f>
        <v/>
      </c>
      <c r="I31" s="8" t="inlineStr">
        <is>
          <t>Listenpreis</t>
        </is>
      </c>
      <c r="J31" s="7" t="inlineStr">
        <is>
          <t>ja</t>
        </is>
      </c>
      <c r="K31" s="7" t="n">
        <v>9</v>
      </c>
      <c r="L31" s="7" t="n">
        <v>9</v>
      </c>
      <c r="M31" s="7" t="n">
        <v>8</v>
      </c>
      <c r="N31" s="7" t="n">
        <v>8</v>
      </c>
      <c r="O31" s="7" t="n">
        <v>9</v>
      </c>
      <c r="P31" s="7" t="n">
        <v>9</v>
      </c>
      <c r="Q31" s="7" t="n">
        <v>9</v>
      </c>
      <c r="R31" s="7">
        <f>ROUND(SUMPRODUCT(K31:Q31,$K$3:$Q$3)/SUM($K$3:$Q$3),2)</f>
        <v/>
      </c>
      <c r="S31" s="7">
        <f>IF(ISNUMBER(Z31),RANK(Z31,$Z$5:$Z$38,0),"k. A.")</f>
        <v/>
      </c>
      <c r="T31" s="8" t="inlineStr"/>
      <c r="Z31">
        <f>IF(ISNUMBER(H31),R31/H31,"")</f>
        <v/>
      </c>
    </row>
    <row r="32">
      <c r="A32" s="7">
        <f>RANK(R32,$R$5:$R$38)</f>
        <v/>
      </c>
      <c r="B32" s="8" t="inlineStr">
        <is>
          <t>GPT-6.1 Sol</t>
        </is>
      </c>
      <c r="C32" s="8" t="inlineStr">
        <is>
          <t>OpenAI</t>
        </is>
      </c>
      <c r="D32" s="7" t="inlineStr">
        <is>
          <t>30.04.2026</t>
        </is>
      </c>
      <c r="E32" s="7" t="inlineStr">
        <is>
          <t>Ende Sep 2026</t>
        </is>
      </c>
      <c r="F32" s="9" t="n">
        <v>2</v>
      </c>
      <c r="G32" s="9" t="n">
        <v>10</v>
      </c>
      <c r="H32" s="9">
        <f>IF(OR(F32="",G32=""),"k. A.",F32+0.2*G32)</f>
        <v/>
      </c>
      <c r="I32" s="8" t="inlineStr">
        <is>
          <t>Listenpreis</t>
        </is>
      </c>
      <c r="J32" s="7" t="inlineStr">
        <is>
          <t>ja</t>
        </is>
      </c>
      <c r="K32" s="7" t="n">
        <v>9</v>
      </c>
      <c r="L32" s="7" t="n">
        <v>9</v>
      </c>
      <c r="M32" s="7" t="n">
        <v>9</v>
      </c>
      <c r="N32" s="7" t="n">
        <v>9</v>
      </c>
      <c r="O32" s="7" t="n">
        <v>9</v>
      </c>
      <c r="P32" s="7" t="n">
        <v>9</v>
      </c>
      <c r="Q32" s="7" t="n">
        <v>9</v>
      </c>
      <c r="R32" s="7">
        <f>ROUND(SUMPRODUCT(K32:Q32,$K$3:$Q$3)/SUM($K$3:$Q$3),2)</f>
        <v/>
      </c>
      <c r="S32" s="7">
        <f>IF(ISNUMBER(Z32),RANK(Z32,$Z$5:$Z$38,0),"k. A.")</f>
        <v/>
      </c>
      <c r="T32" s="8" t="inlineStr">
        <is>
          <t>lt. OpenAI nahezu Astra-Niveau zu einem Fünftel des Preises</t>
        </is>
      </c>
      <c r="Z32">
        <f>IF(ISNUMBER(H32),R32/H32,"")</f>
        <v/>
      </c>
    </row>
    <row r="33">
      <c r="A33" s="7">
        <f>RANK(R33,$R$5:$R$38)</f>
        <v/>
      </c>
      <c r="B33" s="8" t="inlineStr">
        <is>
          <t>GPT-OSS-120B</t>
        </is>
      </c>
      <c r="C33" s="8" t="inlineStr">
        <is>
          <t>OpenAI (Open Weight)</t>
        </is>
      </c>
      <c r="D33" s="7" t="inlineStr">
        <is>
          <t>k. A.</t>
        </is>
      </c>
      <c r="E33" s="7" t="inlineStr">
        <is>
          <t>05.08.2025</t>
        </is>
      </c>
      <c r="F33" s="9" t="n">
        <v>0.15</v>
      </c>
      <c r="G33" s="9" t="n"/>
      <c r="H33" s="9">
        <f>IF(OR(F33="",G33=""),"k. A.",F33+0.2*G33)</f>
        <v/>
      </c>
      <c r="I33" s="8" t="inlineStr">
        <is>
          <t>Preis je Hoster unterschiedlich (z. B. 0,15 Input bei Fireworks)</t>
        </is>
      </c>
      <c r="J33" s="7" t="inlineStr">
        <is>
          <t>nein (nur Text)</t>
        </is>
      </c>
      <c r="K33" s="7" t="n">
        <v>2</v>
      </c>
      <c r="L33" s="7" t="n">
        <v>2</v>
      </c>
      <c r="M33" s="7" t="n">
        <v>1</v>
      </c>
      <c r="N33" s="7" t="n">
        <v>1</v>
      </c>
      <c r="O33" s="7" t="n">
        <v>5</v>
      </c>
      <c r="P33" s="7" t="n">
        <v>6</v>
      </c>
      <c r="Q33" s="7" t="n">
        <v>6</v>
      </c>
      <c r="R33" s="7">
        <f>ROUND(SUMPRODUCT(K33:Q33,$K$3:$Q$3)/SUM($K$3:$Q$3),2)</f>
        <v/>
      </c>
      <c r="S33" s="7">
        <f>IF(ISNUMBER(Z33),RANK(Z33,$Z$5:$Z$38,0),"k. A.")</f>
        <v/>
      </c>
      <c r="T33" s="8" t="inlineStr">
        <is>
          <t>OCR nur mit vorgeschalteter Textextraktion möglich</t>
        </is>
      </c>
      <c r="Z33">
        <f>IF(ISNUMBER(H33),R33/H33,"")</f>
        <v/>
      </c>
    </row>
    <row r="34">
      <c r="A34" s="7">
        <f>RANK(R34,$R$5:$R$38)</f>
        <v/>
      </c>
      <c r="B34" s="8" t="inlineStr">
        <is>
          <t>Grok 4.6</t>
        </is>
      </c>
      <c r="C34" s="8" t="inlineStr">
        <is>
          <t>xAI</t>
        </is>
      </c>
      <c r="D34" s="7" t="inlineStr">
        <is>
          <t>unbekannt</t>
        </is>
      </c>
      <c r="E34" s="7" t="inlineStr">
        <is>
          <t>12.08.2026</t>
        </is>
      </c>
      <c r="F34" s="9" t="n">
        <v>2</v>
      </c>
      <c r="G34" s="9" t="n">
        <v>6</v>
      </c>
      <c r="H34" s="9">
        <f>IF(OR(F34="",G34=""),"k. A.",F34+0.2*G34)</f>
        <v/>
      </c>
      <c r="I34" s="8" t="inlineStr">
        <is>
          <t>Listenpreis</t>
        </is>
      </c>
      <c r="J34" s="7" t="inlineStr">
        <is>
          <t>nicht bestätigt</t>
        </is>
      </c>
      <c r="K34" s="7" t="n">
        <v>7</v>
      </c>
      <c r="L34" s="7" t="n">
        <v>7</v>
      </c>
      <c r="M34" s="7" t="n">
        <v>6</v>
      </c>
      <c r="N34" s="7" t="n">
        <v>6</v>
      </c>
      <c r="O34" s="7" t="n">
        <v>7</v>
      </c>
      <c r="P34" s="7" t="n">
        <v>8</v>
      </c>
      <c r="Q34" s="7" t="n">
        <v>8</v>
      </c>
      <c r="R34" s="7">
        <f>ROUND(SUMPRODUCT(K34:Q34,$K$3:$Q$3)/SUM($K$3:$Q$3),2)</f>
        <v/>
      </c>
      <c r="S34" s="7">
        <f>IF(ISNUMBER(Z34),RANK(Z34,$Z$5:$Z$38,0),"k. A.")</f>
        <v/>
      </c>
      <c r="T34" s="8" t="inlineStr">
        <is>
          <t>Nachfolger Grok 4.7 seit 21.09.2026</t>
        </is>
      </c>
      <c r="Z34">
        <f>IF(ISNUMBER(H34),R34/H34,"")</f>
        <v/>
      </c>
    </row>
    <row r="35">
      <c r="A35" s="7">
        <f>RANK(R35,$R$5:$R$38)</f>
        <v/>
      </c>
      <c r="B35" s="8" t="inlineStr">
        <is>
          <t>DeepSeek-V4.1-Flash</t>
        </is>
      </c>
      <c r="C35" s="8" t="inlineStr">
        <is>
          <t>DeepSeek</t>
        </is>
      </c>
      <c r="D35" s="7" t="inlineStr">
        <is>
          <t>2025</t>
        </is>
      </c>
      <c r="E35" s="7" t="inlineStr">
        <is>
          <t>09.09.2026</t>
        </is>
      </c>
      <c r="F35" s="9" t="n"/>
      <c r="G35" s="9" t="n"/>
      <c r="H35" s="9">
        <f>IF(OR(F35="",G35=""),"k. A.",F35+0.2*G35)</f>
        <v/>
      </c>
      <c r="I35" s="8" t="inlineStr">
        <is>
          <t>Preis nicht ermittelt</t>
        </is>
      </c>
      <c r="J35" s="7" t="inlineStr">
        <is>
          <t>nicht bestätigt</t>
        </is>
      </c>
      <c r="K35" s="7" t="n">
        <v>2</v>
      </c>
      <c r="L35" s="7" t="n">
        <v>2</v>
      </c>
      <c r="M35" s="7" t="n">
        <v>1</v>
      </c>
      <c r="N35" s="7" t="n">
        <v>1</v>
      </c>
      <c r="O35" s="7" t="n">
        <v>6</v>
      </c>
      <c r="P35" s="7" t="n">
        <v>7</v>
      </c>
      <c r="Q35" s="7" t="n">
        <v>7</v>
      </c>
      <c r="R35" s="7">
        <f>ROUND(SUMPRODUCT(K35:Q35,$K$3:$Q$3)/SUM($K$3:$Q$3),2)</f>
        <v/>
      </c>
      <c r="S35" s="7">
        <f>IF(ISNUMBER(Z35),RANK(Z35,$Z$5:$Z$38,0),"k. A.")</f>
        <v/>
      </c>
      <c r="T35" s="8" t="inlineStr">
        <is>
          <t>Bildeingabe nicht bestätigt, daher OCR niedrig</t>
        </is>
      </c>
      <c r="Z35">
        <f>IF(ISNUMBER(H35),R35/H35,"")</f>
        <v/>
      </c>
    </row>
    <row r="36">
      <c r="A36" s="7">
        <f>RANK(R36,$R$5:$R$38)</f>
        <v/>
      </c>
      <c r="B36" s="8" t="inlineStr">
        <is>
          <t>GLM-5</t>
        </is>
      </c>
      <c r="C36" s="8" t="inlineStr">
        <is>
          <t>Zhipu / Z.ai</t>
        </is>
      </c>
      <c r="D36" s="7" t="inlineStr">
        <is>
          <t>2025</t>
        </is>
      </c>
      <c r="E36" s="7" t="inlineStr">
        <is>
          <t>Anfang 2026 (nicht bestätigt)</t>
        </is>
      </c>
      <c r="F36" s="9" t="n"/>
      <c r="G36" s="9" t="n"/>
      <c r="H36" s="9">
        <f>IF(OR(F36="",G36=""),"k. A.",F36+0.2*G36)</f>
        <v/>
      </c>
      <c r="I36" s="8" t="inlineStr">
        <is>
          <t>Preis nicht ermittelt</t>
        </is>
      </c>
      <c r="J36" s="7" t="inlineStr">
        <is>
          <t>nicht bestätigt</t>
        </is>
      </c>
      <c r="K36" s="7" t="n">
        <v>2</v>
      </c>
      <c r="L36" s="7" t="n">
        <v>2</v>
      </c>
      <c r="M36" s="7" t="n">
        <v>1</v>
      </c>
      <c r="N36" s="7" t="n">
        <v>1</v>
      </c>
      <c r="O36" s="7" t="n">
        <v>6</v>
      </c>
      <c r="P36" s="7" t="n">
        <v>7</v>
      </c>
      <c r="Q36" s="7" t="n">
        <v>7</v>
      </c>
      <c r="R36" s="7">
        <f>ROUND(SUMPRODUCT(K36:Q36,$K$3:$Q$3)/SUM($K$3:$Q$3),2)</f>
        <v/>
      </c>
      <c r="S36" s="7">
        <f>IF(ISNUMBER(Z36),RANK(Z36,$Z$5:$Z$38,0),"k. A.")</f>
        <v/>
      </c>
      <c r="T36" s="8" t="inlineStr">
        <is>
          <t>Bildeingabe nicht bestätigt, daher OCR niedrig</t>
        </is>
      </c>
      <c r="Z36">
        <f>IF(ISNUMBER(H36),R36/H36,"")</f>
        <v/>
      </c>
    </row>
    <row r="37">
      <c r="A37" s="7">
        <f>RANK(R37,$R$5:$R$38)</f>
        <v/>
      </c>
      <c r="B37" s="8" t="inlineStr">
        <is>
          <t>GLM-5.2</t>
        </is>
      </c>
      <c r="C37" s="8" t="inlineStr">
        <is>
          <t>Zhipu / Z.ai</t>
        </is>
      </c>
      <c r="D37" s="7" t="inlineStr">
        <is>
          <t>2025</t>
        </is>
      </c>
      <c r="E37" s="7" t="inlineStr">
        <is>
          <t>16.06.2026</t>
        </is>
      </c>
      <c r="F37" s="9" t="n">
        <v>0.152</v>
      </c>
      <c r="G37" s="9" t="n">
        <v>12</v>
      </c>
      <c r="H37" s="9">
        <f>IF(OR(F37="",G37=""),"k. A.",F37+0.2*G37)</f>
        <v/>
      </c>
      <c r="I37" s="8" t="inlineStr">
        <is>
          <t>Preis lt. OpenRouter</t>
        </is>
      </c>
      <c r="J37" s="7" t="inlineStr">
        <is>
          <t>nicht bestätigt</t>
        </is>
      </c>
      <c r="K37" s="7" t="n">
        <v>2</v>
      </c>
      <c r="L37" s="7" t="n">
        <v>2</v>
      </c>
      <c r="M37" s="7" t="n">
        <v>1</v>
      </c>
      <c r="N37" s="7" t="n">
        <v>1</v>
      </c>
      <c r="O37" s="7" t="n">
        <v>7</v>
      </c>
      <c r="P37" s="7" t="n">
        <v>8</v>
      </c>
      <c r="Q37" s="7" t="n">
        <v>8</v>
      </c>
      <c r="R37" s="7">
        <f>ROUND(SUMPRODUCT(K37:Q37,$K$3:$Q$3)/SUM($K$3:$Q$3),2)</f>
        <v/>
      </c>
      <c r="S37" s="7">
        <f>IF(ISNUMBER(Z37),RANK(Z37,$Z$5:$Z$38,0),"k. A.")</f>
        <v/>
      </c>
      <c r="T37" s="8" t="inlineStr">
        <is>
          <t>Bildeingabe nicht bestätigt, daher OCR niedrig</t>
        </is>
      </c>
      <c r="Z37">
        <f>IF(ISNUMBER(H37),R37/H37,"")</f>
        <v/>
      </c>
    </row>
    <row r="38">
      <c r="A38" s="7">
        <f>RANK(R38,$R$5:$R$38)</f>
        <v/>
      </c>
      <c r="B38" s="8" t="inlineStr">
        <is>
          <t>Qwen3.8 27B</t>
        </is>
      </c>
      <c r="C38" s="8" t="inlineStr">
        <is>
          <t>Alibaba (Open Weight)</t>
        </is>
      </c>
      <c r="D38" s="7" t="inlineStr">
        <is>
          <t>2025</t>
        </is>
      </c>
      <c r="E38" s="7" t="inlineStr">
        <is>
          <t>Aug 2026</t>
        </is>
      </c>
      <c r="F38" s="9" t="n"/>
      <c r="G38" s="9" t="n"/>
      <c r="H38" s="9">
        <f>IF(OR(F38="",G38=""),"k. A.",F38+0.2*G38)</f>
        <v/>
      </c>
      <c r="I38" s="8" t="inlineStr">
        <is>
          <t>Preis nicht ermittelt (Open Weight)</t>
        </is>
      </c>
      <c r="J38" s="7" t="inlineStr">
        <is>
          <t>nicht bestätigt</t>
        </is>
      </c>
      <c r="K38" s="7" t="n">
        <v>6</v>
      </c>
      <c r="L38" s="7" t="n">
        <v>6</v>
      </c>
      <c r="M38" s="7" t="n">
        <v>5</v>
      </c>
      <c r="N38" s="7" t="n">
        <v>5</v>
      </c>
      <c r="O38" s="7" t="n">
        <v>5</v>
      </c>
      <c r="P38" s="7" t="n">
        <v>6</v>
      </c>
      <c r="Q38" s="7" t="n">
        <v>6</v>
      </c>
      <c r="R38" s="7">
        <f>ROUND(SUMPRODUCT(K38:Q38,$K$3:$Q$3)/SUM($K$3:$Q$3),2)</f>
        <v/>
      </c>
      <c r="S38" s="7">
        <f>IF(ISNUMBER(Z38),RANK(Z38,$Z$5:$Z$38,0),"k. A.")</f>
        <v/>
      </c>
      <c r="T38" s="8" t="inlineStr">
        <is>
          <t>kleines Modell, für einfache Aufgaben</t>
        </is>
      </c>
      <c r="Z38">
        <f>IF(ISNUMBER(H38),R38/H38,"")</f>
        <v/>
      </c>
    </row>
  </sheetData>
  <autoFilter ref="A4:T38"/>
  <mergeCells count="1">
    <mergeCell ref="A2:X2"/>
  </mergeCells>
  <conditionalFormatting sqref="K5:R38">
    <cfRule type="colorScale" priority="1">
      <colorScale>
        <cfvo type="num" val="1"/>
        <cfvo type="num" val="6"/>
        <cfvo type="num" val="10"/>
        <color rgb="00F8696B"/>
        <color rgb="00FFEB84"/>
        <color rgb="0063BE7B"/>
      </colorScale>
    </cfRule>
  </conditionalFormatting>
  <dataValidations count="1">
    <dataValidation sqref="K3:Q3" showDropDown="0" showInputMessage="0" showErrorMessage="0" allowBlank="0" type="whole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0" t="inlineStr">
        <is>
          <t>Rang je Eigenschaft (1 = bestes Modell; gleiche Bewertung = gleicher Rang)</t>
        </is>
      </c>
    </row>
    <row r="3" ht="75" customHeight="1">
      <c r="A3" s="5" t="inlineStr">
        <is>
          <t>Modell</t>
        </is>
      </c>
      <c r="B3" s="5" t="inlineStr">
        <is>
          <t>OCR Maschinentext aus PDF</t>
        </is>
      </c>
      <c r="C3" s="5" t="inlineStr">
        <is>
          <t>OCR Maschinentext aus Bildern</t>
        </is>
      </c>
      <c r="D3" s="5" t="inlineStr">
        <is>
          <t>OCR Handschrift aus PDF</t>
        </is>
      </c>
      <c r="E3" s="5" t="inlineStr">
        <is>
          <t>OCR Handschrift aus Bildern</t>
        </is>
      </c>
      <c r="F3" s="5" t="inlineStr">
        <is>
          <t>DOCX im Layout identisch zur PDF-Vorlage</t>
        </is>
      </c>
      <c r="G3" s="5" t="inlineStr">
        <is>
          <t>Text- &amp; Datenextraktion aus PDF (Produkt, Charge, Materialnr.)</t>
        </is>
      </c>
      <c r="H3" s="5" t="inlineStr">
        <is>
          <t>Inhaltliche Zusammenfassung</t>
        </is>
      </c>
      <c r="I3" s="5" t="inlineStr">
        <is>
          <t>Gesamt</t>
        </is>
      </c>
    </row>
    <row r="4">
      <c r="A4" s="11">
        <f>Übersicht!B5</f>
        <v/>
      </c>
      <c r="B4" s="7">
        <f>RANK(Übersicht!K5,Übersicht!$K$5:$K$38)</f>
        <v/>
      </c>
      <c r="C4" s="7">
        <f>RANK(Übersicht!L5,Übersicht!$L$5:$L$38)</f>
        <v/>
      </c>
      <c r="D4" s="7">
        <f>RANK(Übersicht!M5,Übersicht!$M$5:$M$38)</f>
        <v/>
      </c>
      <c r="E4" s="7">
        <f>RANK(Übersicht!N5,Übersicht!$N$5:$N$38)</f>
        <v/>
      </c>
      <c r="F4" s="7">
        <f>RANK(Übersicht!O5,Übersicht!$O$5:$O$38)</f>
        <v/>
      </c>
      <c r="G4" s="7">
        <f>RANK(Übersicht!P5,Übersicht!$P$5:$P$38)</f>
        <v/>
      </c>
      <c r="H4" s="7">
        <f>RANK(Übersicht!Q5,Übersicht!$Q$5:$Q$38)</f>
        <v/>
      </c>
      <c r="I4" s="7">
        <f>RANK(Übersicht!R5,Übersicht!$R$5:$R$38)</f>
        <v/>
      </c>
    </row>
    <row r="5">
      <c r="A5" s="11">
        <f>Übersicht!B6</f>
        <v/>
      </c>
      <c r="B5" s="7">
        <f>RANK(Übersicht!K6,Übersicht!$K$5:$K$38)</f>
        <v/>
      </c>
      <c r="C5" s="7">
        <f>RANK(Übersicht!L6,Übersicht!$L$5:$L$38)</f>
        <v/>
      </c>
      <c r="D5" s="7">
        <f>RANK(Übersicht!M6,Übersicht!$M$5:$M$38)</f>
        <v/>
      </c>
      <c r="E5" s="7">
        <f>RANK(Übersicht!N6,Übersicht!$N$5:$N$38)</f>
        <v/>
      </c>
      <c r="F5" s="7">
        <f>RANK(Übersicht!O6,Übersicht!$O$5:$O$38)</f>
        <v/>
      </c>
      <c r="G5" s="7">
        <f>RANK(Übersicht!P6,Übersicht!$P$5:$P$38)</f>
        <v/>
      </c>
      <c r="H5" s="7">
        <f>RANK(Übersicht!Q6,Übersicht!$Q$5:$Q$38)</f>
        <v/>
      </c>
      <c r="I5" s="7">
        <f>RANK(Übersicht!R6,Übersicht!$R$5:$R$38)</f>
        <v/>
      </c>
    </row>
    <row r="6">
      <c r="A6" s="11">
        <f>Übersicht!B7</f>
        <v/>
      </c>
      <c r="B6" s="7">
        <f>RANK(Übersicht!K7,Übersicht!$K$5:$K$38)</f>
        <v/>
      </c>
      <c r="C6" s="7">
        <f>RANK(Übersicht!L7,Übersicht!$L$5:$L$38)</f>
        <v/>
      </c>
      <c r="D6" s="7">
        <f>RANK(Übersicht!M7,Übersicht!$M$5:$M$38)</f>
        <v/>
      </c>
      <c r="E6" s="7">
        <f>RANK(Übersicht!N7,Übersicht!$N$5:$N$38)</f>
        <v/>
      </c>
      <c r="F6" s="7">
        <f>RANK(Übersicht!O7,Übersicht!$O$5:$O$38)</f>
        <v/>
      </c>
      <c r="G6" s="7">
        <f>RANK(Übersicht!P7,Übersicht!$P$5:$P$38)</f>
        <v/>
      </c>
      <c r="H6" s="7">
        <f>RANK(Übersicht!Q7,Übersicht!$Q$5:$Q$38)</f>
        <v/>
      </c>
      <c r="I6" s="7">
        <f>RANK(Übersicht!R7,Übersicht!$R$5:$R$38)</f>
        <v/>
      </c>
    </row>
    <row r="7">
      <c r="A7" s="11">
        <f>Übersicht!B8</f>
        <v/>
      </c>
      <c r="B7" s="7">
        <f>RANK(Übersicht!K8,Übersicht!$K$5:$K$38)</f>
        <v/>
      </c>
      <c r="C7" s="7">
        <f>RANK(Übersicht!L8,Übersicht!$L$5:$L$38)</f>
        <v/>
      </c>
      <c r="D7" s="7">
        <f>RANK(Übersicht!M8,Übersicht!$M$5:$M$38)</f>
        <v/>
      </c>
      <c r="E7" s="7">
        <f>RANK(Übersicht!N8,Übersicht!$N$5:$N$38)</f>
        <v/>
      </c>
      <c r="F7" s="7">
        <f>RANK(Übersicht!O8,Übersicht!$O$5:$O$38)</f>
        <v/>
      </c>
      <c r="G7" s="7">
        <f>RANK(Übersicht!P8,Übersicht!$P$5:$P$38)</f>
        <v/>
      </c>
      <c r="H7" s="7">
        <f>RANK(Übersicht!Q8,Übersicht!$Q$5:$Q$38)</f>
        <v/>
      </c>
      <c r="I7" s="7">
        <f>RANK(Übersicht!R8,Übersicht!$R$5:$R$38)</f>
        <v/>
      </c>
    </row>
    <row r="8">
      <c r="A8" s="11">
        <f>Übersicht!B9</f>
        <v/>
      </c>
      <c r="B8" s="7">
        <f>RANK(Übersicht!K9,Übersicht!$K$5:$K$38)</f>
        <v/>
      </c>
      <c r="C8" s="7">
        <f>RANK(Übersicht!L9,Übersicht!$L$5:$L$38)</f>
        <v/>
      </c>
      <c r="D8" s="7">
        <f>RANK(Übersicht!M9,Übersicht!$M$5:$M$38)</f>
        <v/>
      </c>
      <c r="E8" s="7">
        <f>RANK(Übersicht!N9,Übersicht!$N$5:$N$38)</f>
        <v/>
      </c>
      <c r="F8" s="7">
        <f>RANK(Übersicht!O9,Übersicht!$O$5:$O$38)</f>
        <v/>
      </c>
      <c r="G8" s="7">
        <f>RANK(Übersicht!P9,Übersicht!$P$5:$P$38)</f>
        <v/>
      </c>
      <c r="H8" s="7">
        <f>RANK(Übersicht!Q9,Übersicht!$Q$5:$Q$38)</f>
        <v/>
      </c>
      <c r="I8" s="7">
        <f>RANK(Übersicht!R9,Übersicht!$R$5:$R$38)</f>
        <v/>
      </c>
    </row>
    <row r="9">
      <c r="A9" s="11">
        <f>Übersicht!B10</f>
        <v/>
      </c>
      <c r="B9" s="7">
        <f>RANK(Übersicht!K10,Übersicht!$K$5:$K$38)</f>
        <v/>
      </c>
      <c r="C9" s="7">
        <f>RANK(Übersicht!L10,Übersicht!$L$5:$L$38)</f>
        <v/>
      </c>
      <c r="D9" s="7">
        <f>RANK(Übersicht!M10,Übersicht!$M$5:$M$38)</f>
        <v/>
      </c>
      <c r="E9" s="7">
        <f>RANK(Übersicht!N10,Übersicht!$N$5:$N$38)</f>
        <v/>
      </c>
      <c r="F9" s="7">
        <f>RANK(Übersicht!O10,Übersicht!$O$5:$O$38)</f>
        <v/>
      </c>
      <c r="G9" s="7">
        <f>RANK(Übersicht!P10,Übersicht!$P$5:$P$38)</f>
        <v/>
      </c>
      <c r="H9" s="7">
        <f>RANK(Übersicht!Q10,Übersicht!$Q$5:$Q$38)</f>
        <v/>
      </c>
      <c r="I9" s="7">
        <f>RANK(Übersicht!R10,Übersicht!$R$5:$R$38)</f>
        <v/>
      </c>
    </row>
    <row r="10">
      <c r="A10" s="11">
        <f>Übersicht!B11</f>
        <v/>
      </c>
      <c r="B10" s="7">
        <f>RANK(Übersicht!K11,Übersicht!$K$5:$K$38)</f>
        <v/>
      </c>
      <c r="C10" s="7">
        <f>RANK(Übersicht!L11,Übersicht!$L$5:$L$38)</f>
        <v/>
      </c>
      <c r="D10" s="7">
        <f>RANK(Übersicht!M11,Übersicht!$M$5:$M$38)</f>
        <v/>
      </c>
      <c r="E10" s="7">
        <f>RANK(Übersicht!N11,Übersicht!$N$5:$N$38)</f>
        <v/>
      </c>
      <c r="F10" s="7">
        <f>RANK(Übersicht!O11,Übersicht!$O$5:$O$38)</f>
        <v/>
      </c>
      <c r="G10" s="7">
        <f>RANK(Übersicht!P11,Übersicht!$P$5:$P$38)</f>
        <v/>
      </c>
      <c r="H10" s="7">
        <f>RANK(Übersicht!Q11,Übersicht!$Q$5:$Q$38)</f>
        <v/>
      </c>
      <c r="I10" s="7">
        <f>RANK(Übersicht!R11,Übersicht!$R$5:$R$38)</f>
        <v/>
      </c>
    </row>
    <row r="11">
      <c r="A11" s="11">
        <f>Übersicht!B12</f>
        <v/>
      </c>
      <c r="B11" s="7">
        <f>RANK(Übersicht!K12,Übersicht!$K$5:$K$38)</f>
        <v/>
      </c>
      <c r="C11" s="7">
        <f>RANK(Übersicht!L12,Übersicht!$L$5:$L$38)</f>
        <v/>
      </c>
      <c r="D11" s="7">
        <f>RANK(Übersicht!M12,Übersicht!$M$5:$M$38)</f>
        <v/>
      </c>
      <c r="E11" s="7">
        <f>RANK(Übersicht!N12,Übersicht!$N$5:$N$38)</f>
        <v/>
      </c>
      <c r="F11" s="7">
        <f>RANK(Übersicht!O12,Übersicht!$O$5:$O$38)</f>
        <v/>
      </c>
      <c r="G11" s="7">
        <f>RANK(Übersicht!P12,Übersicht!$P$5:$P$38)</f>
        <v/>
      </c>
      <c r="H11" s="7">
        <f>RANK(Übersicht!Q12,Übersicht!$Q$5:$Q$38)</f>
        <v/>
      </c>
      <c r="I11" s="7">
        <f>RANK(Übersicht!R12,Übersicht!$R$5:$R$38)</f>
        <v/>
      </c>
    </row>
    <row r="12">
      <c r="A12" s="11">
        <f>Übersicht!B13</f>
        <v/>
      </c>
      <c r="B12" s="7">
        <f>RANK(Übersicht!K13,Übersicht!$K$5:$K$38)</f>
        <v/>
      </c>
      <c r="C12" s="7">
        <f>RANK(Übersicht!L13,Übersicht!$L$5:$L$38)</f>
        <v/>
      </c>
      <c r="D12" s="7">
        <f>RANK(Übersicht!M13,Übersicht!$M$5:$M$38)</f>
        <v/>
      </c>
      <c r="E12" s="7">
        <f>RANK(Übersicht!N13,Übersicht!$N$5:$N$38)</f>
        <v/>
      </c>
      <c r="F12" s="7">
        <f>RANK(Übersicht!O13,Übersicht!$O$5:$O$38)</f>
        <v/>
      </c>
      <c r="G12" s="7">
        <f>RANK(Übersicht!P13,Übersicht!$P$5:$P$38)</f>
        <v/>
      </c>
      <c r="H12" s="7">
        <f>RANK(Übersicht!Q13,Übersicht!$Q$5:$Q$38)</f>
        <v/>
      </c>
      <c r="I12" s="7">
        <f>RANK(Übersicht!R13,Übersicht!$R$5:$R$38)</f>
        <v/>
      </c>
    </row>
    <row r="13">
      <c r="A13" s="11">
        <f>Übersicht!B14</f>
        <v/>
      </c>
      <c r="B13" s="7">
        <f>RANK(Übersicht!K14,Übersicht!$K$5:$K$38)</f>
        <v/>
      </c>
      <c r="C13" s="7">
        <f>RANK(Übersicht!L14,Übersicht!$L$5:$L$38)</f>
        <v/>
      </c>
      <c r="D13" s="7">
        <f>RANK(Übersicht!M14,Übersicht!$M$5:$M$38)</f>
        <v/>
      </c>
      <c r="E13" s="7">
        <f>RANK(Übersicht!N14,Übersicht!$N$5:$N$38)</f>
        <v/>
      </c>
      <c r="F13" s="7">
        <f>RANK(Übersicht!O14,Übersicht!$O$5:$O$38)</f>
        <v/>
      </c>
      <c r="G13" s="7">
        <f>RANK(Übersicht!P14,Übersicht!$P$5:$P$38)</f>
        <v/>
      </c>
      <c r="H13" s="7">
        <f>RANK(Übersicht!Q14,Übersicht!$Q$5:$Q$38)</f>
        <v/>
      </c>
      <c r="I13" s="7">
        <f>RANK(Übersicht!R14,Übersicht!$R$5:$R$38)</f>
        <v/>
      </c>
    </row>
    <row r="14">
      <c r="A14" s="11">
        <f>Übersicht!B15</f>
        <v/>
      </c>
      <c r="B14" s="7">
        <f>RANK(Übersicht!K15,Übersicht!$K$5:$K$38)</f>
        <v/>
      </c>
      <c r="C14" s="7">
        <f>RANK(Übersicht!L15,Übersicht!$L$5:$L$38)</f>
        <v/>
      </c>
      <c r="D14" s="7">
        <f>RANK(Übersicht!M15,Übersicht!$M$5:$M$38)</f>
        <v/>
      </c>
      <c r="E14" s="7">
        <f>RANK(Übersicht!N15,Übersicht!$N$5:$N$38)</f>
        <v/>
      </c>
      <c r="F14" s="7">
        <f>RANK(Übersicht!O15,Übersicht!$O$5:$O$38)</f>
        <v/>
      </c>
      <c r="G14" s="7">
        <f>RANK(Übersicht!P15,Übersicht!$P$5:$P$38)</f>
        <v/>
      </c>
      <c r="H14" s="7">
        <f>RANK(Übersicht!Q15,Übersicht!$Q$5:$Q$38)</f>
        <v/>
      </c>
      <c r="I14" s="7">
        <f>RANK(Übersicht!R15,Übersicht!$R$5:$R$38)</f>
        <v/>
      </c>
    </row>
    <row r="15">
      <c r="A15" s="11">
        <f>Übersicht!B16</f>
        <v/>
      </c>
      <c r="B15" s="7">
        <f>RANK(Übersicht!K16,Übersicht!$K$5:$K$38)</f>
        <v/>
      </c>
      <c r="C15" s="7">
        <f>RANK(Übersicht!L16,Übersicht!$L$5:$L$38)</f>
        <v/>
      </c>
      <c r="D15" s="7">
        <f>RANK(Übersicht!M16,Übersicht!$M$5:$M$38)</f>
        <v/>
      </c>
      <c r="E15" s="7">
        <f>RANK(Übersicht!N16,Übersicht!$N$5:$N$38)</f>
        <v/>
      </c>
      <c r="F15" s="7">
        <f>RANK(Übersicht!O16,Übersicht!$O$5:$O$38)</f>
        <v/>
      </c>
      <c r="G15" s="7">
        <f>RANK(Übersicht!P16,Übersicht!$P$5:$P$38)</f>
        <v/>
      </c>
      <c r="H15" s="7">
        <f>RANK(Übersicht!Q16,Übersicht!$Q$5:$Q$38)</f>
        <v/>
      </c>
      <c r="I15" s="7">
        <f>RANK(Übersicht!R16,Übersicht!$R$5:$R$38)</f>
        <v/>
      </c>
    </row>
    <row r="16">
      <c r="A16" s="11">
        <f>Übersicht!B17</f>
        <v/>
      </c>
      <c r="B16" s="7">
        <f>RANK(Übersicht!K17,Übersicht!$K$5:$K$38)</f>
        <v/>
      </c>
      <c r="C16" s="7">
        <f>RANK(Übersicht!L17,Übersicht!$L$5:$L$38)</f>
        <v/>
      </c>
      <c r="D16" s="7">
        <f>RANK(Übersicht!M17,Übersicht!$M$5:$M$38)</f>
        <v/>
      </c>
      <c r="E16" s="7">
        <f>RANK(Übersicht!N17,Übersicht!$N$5:$N$38)</f>
        <v/>
      </c>
      <c r="F16" s="7">
        <f>RANK(Übersicht!O17,Übersicht!$O$5:$O$38)</f>
        <v/>
      </c>
      <c r="G16" s="7">
        <f>RANK(Übersicht!P17,Übersicht!$P$5:$P$38)</f>
        <v/>
      </c>
      <c r="H16" s="7">
        <f>RANK(Übersicht!Q17,Übersicht!$Q$5:$Q$38)</f>
        <v/>
      </c>
      <c r="I16" s="7">
        <f>RANK(Übersicht!R17,Übersicht!$R$5:$R$38)</f>
        <v/>
      </c>
    </row>
    <row r="17">
      <c r="A17" s="11">
        <f>Übersicht!B18</f>
        <v/>
      </c>
      <c r="B17" s="7">
        <f>RANK(Übersicht!K18,Übersicht!$K$5:$K$38)</f>
        <v/>
      </c>
      <c r="C17" s="7">
        <f>RANK(Übersicht!L18,Übersicht!$L$5:$L$38)</f>
        <v/>
      </c>
      <c r="D17" s="7">
        <f>RANK(Übersicht!M18,Übersicht!$M$5:$M$38)</f>
        <v/>
      </c>
      <c r="E17" s="7">
        <f>RANK(Übersicht!N18,Übersicht!$N$5:$N$38)</f>
        <v/>
      </c>
      <c r="F17" s="7">
        <f>RANK(Übersicht!O18,Übersicht!$O$5:$O$38)</f>
        <v/>
      </c>
      <c r="G17" s="7">
        <f>RANK(Übersicht!P18,Übersicht!$P$5:$P$38)</f>
        <v/>
      </c>
      <c r="H17" s="7">
        <f>RANK(Übersicht!Q18,Übersicht!$Q$5:$Q$38)</f>
        <v/>
      </c>
      <c r="I17" s="7">
        <f>RANK(Übersicht!R18,Übersicht!$R$5:$R$38)</f>
        <v/>
      </c>
    </row>
    <row r="18">
      <c r="A18" s="11">
        <f>Übersicht!B19</f>
        <v/>
      </c>
      <c r="B18" s="7">
        <f>RANK(Übersicht!K19,Übersicht!$K$5:$K$38)</f>
        <v/>
      </c>
      <c r="C18" s="7">
        <f>RANK(Übersicht!L19,Übersicht!$L$5:$L$38)</f>
        <v/>
      </c>
      <c r="D18" s="7">
        <f>RANK(Übersicht!M19,Übersicht!$M$5:$M$38)</f>
        <v/>
      </c>
      <c r="E18" s="7">
        <f>RANK(Übersicht!N19,Übersicht!$N$5:$N$38)</f>
        <v/>
      </c>
      <c r="F18" s="7">
        <f>RANK(Übersicht!O19,Übersicht!$O$5:$O$38)</f>
        <v/>
      </c>
      <c r="G18" s="7">
        <f>RANK(Übersicht!P19,Übersicht!$P$5:$P$38)</f>
        <v/>
      </c>
      <c r="H18" s="7">
        <f>RANK(Übersicht!Q19,Übersicht!$Q$5:$Q$38)</f>
        <v/>
      </c>
      <c r="I18" s="7">
        <f>RANK(Übersicht!R19,Übersicht!$R$5:$R$38)</f>
        <v/>
      </c>
    </row>
    <row r="19">
      <c r="A19" s="11">
        <f>Übersicht!B20</f>
        <v/>
      </c>
      <c r="B19" s="7">
        <f>RANK(Übersicht!K20,Übersicht!$K$5:$K$38)</f>
        <v/>
      </c>
      <c r="C19" s="7">
        <f>RANK(Übersicht!L20,Übersicht!$L$5:$L$38)</f>
        <v/>
      </c>
      <c r="D19" s="7">
        <f>RANK(Übersicht!M20,Übersicht!$M$5:$M$38)</f>
        <v/>
      </c>
      <c r="E19" s="7">
        <f>RANK(Übersicht!N20,Übersicht!$N$5:$N$38)</f>
        <v/>
      </c>
      <c r="F19" s="7">
        <f>RANK(Übersicht!O20,Übersicht!$O$5:$O$38)</f>
        <v/>
      </c>
      <c r="G19" s="7">
        <f>RANK(Übersicht!P20,Übersicht!$P$5:$P$38)</f>
        <v/>
      </c>
      <c r="H19" s="7">
        <f>RANK(Übersicht!Q20,Übersicht!$Q$5:$Q$38)</f>
        <v/>
      </c>
      <c r="I19" s="7">
        <f>RANK(Übersicht!R20,Übersicht!$R$5:$R$38)</f>
        <v/>
      </c>
    </row>
    <row r="20">
      <c r="A20" s="11">
        <f>Übersicht!B21</f>
        <v/>
      </c>
      <c r="B20" s="7">
        <f>RANK(Übersicht!K21,Übersicht!$K$5:$K$38)</f>
        <v/>
      </c>
      <c r="C20" s="7">
        <f>RANK(Übersicht!L21,Übersicht!$L$5:$L$38)</f>
        <v/>
      </c>
      <c r="D20" s="7">
        <f>RANK(Übersicht!M21,Übersicht!$M$5:$M$38)</f>
        <v/>
      </c>
      <c r="E20" s="7">
        <f>RANK(Übersicht!N21,Übersicht!$N$5:$N$38)</f>
        <v/>
      </c>
      <c r="F20" s="7">
        <f>RANK(Übersicht!O21,Übersicht!$O$5:$O$38)</f>
        <v/>
      </c>
      <c r="G20" s="7">
        <f>RANK(Übersicht!P21,Übersicht!$P$5:$P$38)</f>
        <v/>
      </c>
      <c r="H20" s="7">
        <f>RANK(Übersicht!Q21,Übersicht!$Q$5:$Q$38)</f>
        <v/>
      </c>
      <c r="I20" s="7">
        <f>RANK(Übersicht!R21,Übersicht!$R$5:$R$38)</f>
        <v/>
      </c>
    </row>
    <row r="21">
      <c r="A21" s="11">
        <f>Übersicht!B22</f>
        <v/>
      </c>
      <c r="B21" s="7">
        <f>RANK(Übersicht!K22,Übersicht!$K$5:$K$38)</f>
        <v/>
      </c>
      <c r="C21" s="7">
        <f>RANK(Übersicht!L22,Übersicht!$L$5:$L$38)</f>
        <v/>
      </c>
      <c r="D21" s="7">
        <f>RANK(Übersicht!M22,Übersicht!$M$5:$M$38)</f>
        <v/>
      </c>
      <c r="E21" s="7">
        <f>RANK(Übersicht!N22,Übersicht!$N$5:$N$38)</f>
        <v/>
      </c>
      <c r="F21" s="7">
        <f>RANK(Übersicht!O22,Übersicht!$O$5:$O$38)</f>
        <v/>
      </c>
      <c r="G21" s="7">
        <f>RANK(Übersicht!P22,Übersicht!$P$5:$P$38)</f>
        <v/>
      </c>
      <c r="H21" s="7">
        <f>RANK(Übersicht!Q22,Übersicht!$Q$5:$Q$38)</f>
        <v/>
      </c>
      <c r="I21" s="7">
        <f>RANK(Übersicht!R22,Übersicht!$R$5:$R$38)</f>
        <v/>
      </c>
    </row>
    <row r="22">
      <c r="A22" s="11">
        <f>Übersicht!B23</f>
        <v/>
      </c>
      <c r="B22" s="7">
        <f>RANK(Übersicht!K23,Übersicht!$K$5:$K$38)</f>
        <v/>
      </c>
      <c r="C22" s="7">
        <f>RANK(Übersicht!L23,Übersicht!$L$5:$L$38)</f>
        <v/>
      </c>
      <c r="D22" s="7">
        <f>RANK(Übersicht!M23,Übersicht!$M$5:$M$38)</f>
        <v/>
      </c>
      <c r="E22" s="7">
        <f>RANK(Übersicht!N23,Übersicht!$N$5:$N$38)</f>
        <v/>
      </c>
      <c r="F22" s="7">
        <f>RANK(Übersicht!O23,Übersicht!$O$5:$O$38)</f>
        <v/>
      </c>
      <c r="G22" s="7">
        <f>RANK(Übersicht!P23,Übersicht!$P$5:$P$38)</f>
        <v/>
      </c>
      <c r="H22" s="7">
        <f>RANK(Übersicht!Q23,Übersicht!$Q$5:$Q$38)</f>
        <v/>
      </c>
      <c r="I22" s="7">
        <f>RANK(Übersicht!R23,Übersicht!$R$5:$R$38)</f>
        <v/>
      </c>
    </row>
    <row r="23">
      <c r="A23" s="11">
        <f>Übersicht!B24</f>
        <v/>
      </c>
      <c r="B23" s="7">
        <f>RANK(Übersicht!K24,Übersicht!$K$5:$K$38)</f>
        <v/>
      </c>
      <c r="C23" s="7">
        <f>RANK(Übersicht!L24,Übersicht!$L$5:$L$38)</f>
        <v/>
      </c>
      <c r="D23" s="7">
        <f>RANK(Übersicht!M24,Übersicht!$M$5:$M$38)</f>
        <v/>
      </c>
      <c r="E23" s="7">
        <f>RANK(Übersicht!N24,Übersicht!$N$5:$N$38)</f>
        <v/>
      </c>
      <c r="F23" s="7">
        <f>RANK(Übersicht!O24,Übersicht!$O$5:$O$38)</f>
        <v/>
      </c>
      <c r="G23" s="7">
        <f>RANK(Übersicht!P24,Übersicht!$P$5:$P$38)</f>
        <v/>
      </c>
      <c r="H23" s="7">
        <f>RANK(Übersicht!Q24,Übersicht!$Q$5:$Q$38)</f>
        <v/>
      </c>
      <c r="I23" s="7">
        <f>RANK(Übersicht!R24,Übersicht!$R$5:$R$38)</f>
        <v/>
      </c>
    </row>
    <row r="24">
      <c r="A24" s="11">
        <f>Übersicht!B25</f>
        <v/>
      </c>
      <c r="B24" s="7">
        <f>RANK(Übersicht!K25,Übersicht!$K$5:$K$38)</f>
        <v/>
      </c>
      <c r="C24" s="7">
        <f>RANK(Übersicht!L25,Übersicht!$L$5:$L$38)</f>
        <v/>
      </c>
      <c r="D24" s="7">
        <f>RANK(Übersicht!M25,Übersicht!$M$5:$M$38)</f>
        <v/>
      </c>
      <c r="E24" s="7">
        <f>RANK(Übersicht!N25,Übersicht!$N$5:$N$38)</f>
        <v/>
      </c>
      <c r="F24" s="7">
        <f>RANK(Übersicht!O25,Übersicht!$O$5:$O$38)</f>
        <v/>
      </c>
      <c r="G24" s="7">
        <f>RANK(Übersicht!P25,Übersicht!$P$5:$P$38)</f>
        <v/>
      </c>
      <c r="H24" s="7">
        <f>RANK(Übersicht!Q25,Übersicht!$Q$5:$Q$38)</f>
        <v/>
      </c>
      <c r="I24" s="7">
        <f>RANK(Übersicht!R25,Übersicht!$R$5:$R$38)</f>
        <v/>
      </c>
    </row>
    <row r="25">
      <c r="A25" s="11">
        <f>Übersicht!B26</f>
        <v/>
      </c>
      <c r="B25" s="7">
        <f>RANK(Übersicht!K26,Übersicht!$K$5:$K$38)</f>
        <v/>
      </c>
      <c r="C25" s="7">
        <f>RANK(Übersicht!L26,Übersicht!$L$5:$L$38)</f>
        <v/>
      </c>
      <c r="D25" s="7">
        <f>RANK(Übersicht!M26,Übersicht!$M$5:$M$38)</f>
        <v/>
      </c>
      <c r="E25" s="7">
        <f>RANK(Übersicht!N26,Übersicht!$N$5:$N$38)</f>
        <v/>
      </c>
      <c r="F25" s="7">
        <f>RANK(Übersicht!O26,Übersicht!$O$5:$O$38)</f>
        <v/>
      </c>
      <c r="G25" s="7">
        <f>RANK(Übersicht!P26,Übersicht!$P$5:$P$38)</f>
        <v/>
      </c>
      <c r="H25" s="7">
        <f>RANK(Übersicht!Q26,Übersicht!$Q$5:$Q$38)</f>
        <v/>
      </c>
      <c r="I25" s="7">
        <f>RANK(Übersicht!R26,Übersicht!$R$5:$R$38)</f>
        <v/>
      </c>
    </row>
    <row r="26">
      <c r="A26" s="11">
        <f>Übersicht!B27</f>
        <v/>
      </c>
      <c r="B26" s="7">
        <f>RANK(Übersicht!K27,Übersicht!$K$5:$K$38)</f>
        <v/>
      </c>
      <c r="C26" s="7">
        <f>RANK(Übersicht!L27,Übersicht!$L$5:$L$38)</f>
        <v/>
      </c>
      <c r="D26" s="7">
        <f>RANK(Übersicht!M27,Übersicht!$M$5:$M$38)</f>
        <v/>
      </c>
      <c r="E26" s="7">
        <f>RANK(Übersicht!N27,Übersicht!$N$5:$N$38)</f>
        <v/>
      </c>
      <c r="F26" s="7">
        <f>RANK(Übersicht!O27,Übersicht!$O$5:$O$38)</f>
        <v/>
      </c>
      <c r="G26" s="7">
        <f>RANK(Übersicht!P27,Übersicht!$P$5:$P$38)</f>
        <v/>
      </c>
      <c r="H26" s="7">
        <f>RANK(Übersicht!Q27,Übersicht!$Q$5:$Q$38)</f>
        <v/>
      </c>
      <c r="I26" s="7">
        <f>RANK(Übersicht!R27,Übersicht!$R$5:$R$38)</f>
        <v/>
      </c>
    </row>
    <row r="27">
      <c r="A27" s="11">
        <f>Übersicht!B28</f>
        <v/>
      </c>
      <c r="B27" s="7">
        <f>RANK(Übersicht!K28,Übersicht!$K$5:$K$38)</f>
        <v/>
      </c>
      <c r="C27" s="7">
        <f>RANK(Übersicht!L28,Übersicht!$L$5:$L$38)</f>
        <v/>
      </c>
      <c r="D27" s="7">
        <f>RANK(Übersicht!M28,Übersicht!$M$5:$M$38)</f>
        <v/>
      </c>
      <c r="E27" s="7">
        <f>RANK(Übersicht!N28,Übersicht!$N$5:$N$38)</f>
        <v/>
      </c>
      <c r="F27" s="7">
        <f>RANK(Übersicht!O28,Übersicht!$O$5:$O$38)</f>
        <v/>
      </c>
      <c r="G27" s="7">
        <f>RANK(Übersicht!P28,Übersicht!$P$5:$P$38)</f>
        <v/>
      </c>
      <c r="H27" s="7">
        <f>RANK(Übersicht!Q28,Übersicht!$Q$5:$Q$38)</f>
        <v/>
      </c>
      <c r="I27" s="7">
        <f>RANK(Übersicht!R28,Übersicht!$R$5:$R$38)</f>
        <v/>
      </c>
    </row>
    <row r="28">
      <c r="A28" s="11">
        <f>Übersicht!B29</f>
        <v/>
      </c>
      <c r="B28" s="7">
        <f>RANK(Übersicht!K29,Übersicht!$K$5:$K$38)</f>
        <v/>
      </c>
      <c r="C28" s="7">
        <f>RANK(Übersicht!L29,Übersicht!$L$5:$L$38)</f>
        <v/>
      </c>
      <c r="D28" s="7">
        <f>RANK(Übersicht!M29,Übersicht!$M$5:$M$38)</f>
        <v/>
      </c>
      <c r="E28" s="7">
        <f>RANK(Übersicht!N29,Übersicht!$N$5:$N$38)</f>
        <v/>
      </c>
      <c r="F28" s="7">
        <f>RANK(Übersicht!O29,Übersicht!$O$5:$O$38)</f>
        <v/>
      </c>
      <c r="G28" s="7">
        <f>RANK(Übersicht!P29,Übersicht!$P$5:$P$38)</f>
        <v/>
      </c>
      <c r="H28" s="7">
        <f>RANK(Übersicht!Q29,Übersicht!$Q$5:$Q$38)</f>
        <v/>
      </c>
      <c r="I28" s="7">
        <f>RANK(Übersicht!R29,Übersicht!$R$5:$R$38)</f>
        <v/>
      </c>
    </row>
    <row r="29">
      <c r="A29" s="11">
        <f>Übersicht!B30</f>
        <v/>
      </c>
      <c r="B29" s="7">
        <f>RANK(Übersicht!K30,Übersicht!$K$5:$K$38)</f>
        <v/>
      </c>
      <c r="C29" s="7">
        <f>RANK(Übersicht!L30,Übersicht!$L$5:$L$38)</f>
        <v/>
      </c>
      <c r="D29" s="7">
        <f>RANK(Übersicht!M30,Übersicht!$M$5:$M$38)</f>
        <v/>
      </c>
      <c r="E29" s="7">
        <f>RANK(Übersicht!N30,Übersicht!$N$5:$N$38)</f>
        <v/>
      </c>
      <c r="F29" s="7">
        <f>RANK(Übersicht!O30,Übersicht!$O$5:$O$38)</f>
        <v/>
      </c>
      <c r="G29" s="7">
        <f>RANK(Übersicht!P30,Übersicht!$P$5:$P$38)</f>
        <v/>
      </c>
      <c r="H29" s="7">
        <f>RANK(Übersicht!Q30,Übersicht!$Q$5:$Q$38)</f>
        <v/>
      </c>
      <c r="I29" s="7">
        <f>RANK(Übersicht!R30,Übersicht!$R$5:$R$38)</f>
        <v/>
      </c>
    </row>
    <row r="30">
      <c r="A30" s="11">
        <f>Übersicht!B31</f>
        <v/>
      </c>
      <c r="B30" s="7">
        <f>RANK(Übersicht!K31,Übersicht!$K$5:$K$38)</f>
        <v/>
      </c>
      <c r="C30" s="7">
        <f>RANK(Übersicht!L31,Übersicht!$L$5:$L$38)</f>
        <v/>
      </c>
      <c r="D30" s="7">
        <f>RANK(Übersicht!M31,Übersicht!$M$5:$M$38)</f>
        <v/>
      </c>
      <c r="E30" s="7">
        <f>RANK(Übersicht!N31,Übersicht!$N$5:$N$38)</f>
        <v/>
      </c>
      <c r="F30" s="7">
        <f>RANK(Übersicht!O31,Übersicht!$O$5:$O$38)</f>
        <v/>
      </c>
      <c r="G30" s="7">
        <f>RANK(Übersicht!P31,Übersicht!$P$5:$P$38)</f>
        <v/>
      </c>
      <c r="H30" s="7">
        <f>RANK(Übersicht!Q31,Übersicht!$Q$5:$Q$38)</f>
        <v/>
      </c>
      <c r="I30" s="7">
        <f>RANK(Übersicht!R31,Übersicht!$R$5:$R$38)</f>
        <v/>
      </c>
    </row>
    <row r="31">
      <c r="A31" s="11">
        <f>Übersicht!B32</f>
        <v/>
      </c>
      <c r="B31" s="7">
        <f>RANK(Übersicht!K32,Übersicht!$K$5:$K$38)</f>
        <v/>
      </c>
      <c r="C31" s="7">
        <f>RANK(Übersicht!L32,Übersicht!$L$5:$L$38)</f>
        <v/>
      </c>
      <c r="D31" s="7">
        <f>RANK(Übersicht!M32,Übersicht!$M$5:$M$38)</f>
        <v/>
      </c>
      <c r="E31" s="7">
        <f>RANK(Übersicht!N32,Übersicht!$N$5:$N$38)</f>
        <v/>
      </c>
      <c r="F31" s="7">
        <f>RANK(Übersicht!O32,Übersicht!$O$5:$O$38)</f>
        <v/>
      </c>
      <c r="G31" s="7">
        <f>RANK(Übersicht!P32,Übersicht!$P$5:$P$38)</f>
        <v/>
      </c>
      <c r="H31" s="7">
        <f>RANK(Übersicht!Q32,Übersicht!$Q$5:$Q$38)</f>
        <v/>
      </c>
      <c r="I31" s="7">
        <f>RANK(Übersicht!R32,Übersicht!$R$5:$R$38)</f>
        <v/>
      </c>
    </row>
    <row r="32">
      <c r="A32" s="11">
        <f>Übersicht!B33</f>
        <v/>
      </c>
      <c r="B32" s="7">
        <f>RANK(Übersicht!K33,Übersicht!$K$5:$K$38)</f>
        <v/>
      </c>
      <c r="C32" s="7">
        <f>RANK(Übersicht!L33,Übersicht!$L$5:$L$38)</f>
        <v/>
      </c>
      <c r="D32" s="7">
        <f>RANK(Übersicht!M33,Übersicht!$M$5:$M$38)</f>
        <v/>
      </c>
      <c r="E32" s="7">
        <f>RANK(Übersicht!N33,Übersicht!$N$5:$N$38)</f>
        <v/>
      </c>
      <c r="F32" s="7">
        <f>RANK(Übersicht!O33,Übersicht!$O$5:$O$38)</f>
        <v/>
      </c>
      <c r="G32" s="7">
        <f>RANK(Übersicht!P33,Übersicht!$P$5:$P$38)</f>
        <v/>
      </c>
      <c r="H32" s="7">
        <f>RANK(Übersicht!Q33,Übersicht!$Q$5:$Q$38)</f>
        <v/>
      </c>
      <c r="I32" s="7">
        <f>RANK(Übersicht!R33,Übersicht!$R$5:$R$38)</f>
        <v/>
      </c>
    </row>
    <row r="33">
      <c r="A33" s="11">
        <f>Übersicht!B34</f>
        <v/>
      </c>
      <c r="B33" s="7">
        <f>RANK(Übersicht!K34,Übersicht!$K$5:$K$38)</f>
        <v/>
      </c>
      <c r="C33" s="7">
        <f>RANK(Übersicht!L34,Übersicht!$L$5:$L$38)</f>
        <v/>
      </c>
      <c r="D33" s="7">
        <f>RANK(Übersicht!M34,Übersicht!$M$5:$M$38)</f>
        <v/>
      </c>
      <c r="E33" s="7">
        <f>RANK(Übersicht!N34,Übersicht!$N$5:$N$38)</f>
        <v/>
      </c>
      <c r="F33" s="7">
        <f>RANK(Übersicht!O34,Übersicht!$O$5:$O$38)</f>
        <v/>
      </c>
      <c r="G33" s="7">
        <f>RANK(Übersicht!P34,Übersicht!$P$5:$P$38)</f>
        <v/>
      </c>
      <c r="H33" s="7">
        <f>RANK(Übersicht!Q34,Übersicht!$Q$5:$Q$38)</f>
        <v/>
      </c>
      <c r="I33" s="7">
        <f>RANK(Übersicht!R34,Übersicht!$R$5:$R$38)</f>
        <v/>
      </c>
    </row>
    <row r="34">
      <c r="A34" s="11">
        <f>Übersicht!B35</f>
        <v/>
      </c>
      <c r="B34" s="7">
        <f>RANK(Übersicht!K35,Übersicht!$K$5:$K$38)</f>
        <v/>
      </c>
      <c r="C34" s="7">
        <f>RANK(Übersicht!L35,Übersicht!$L$5:$L$38)</f>
        <v/>
      </c>
      <c r="D34" s="7">
        <f>RANK(Übersicht!M35,Übersicht!$M$5:$M$38)</f>
        <v/>
      </c>
      <c r="E34" s="7">
        <f>RANK(Übersicht!N35,Übersicht!$N$5:$N$38)</f>
        <v/>
      </c>
      <c r="F34" s="7">
        <f>RANK(Übersicht!O35,Übersicht!$O$5:$O$38)</f>
        <v/>
      </c>
      <c r="G34" s="7">
        <f>RANK(Übersicht!P35,Übersicht!$P$5:$P$38)</f>
        <v/>
      </c>
      <c r="H34" s="7">
        <f>RANK(Übersicht!Q35,Übersicht!$Q$5:$Q$38)</f>
        <v/>
      </c>
      <c r="I34" s="7">
        <f>RANK(Übersicht!R35,Übersicht!$R$5:$R$38)</f>
        <v/>
      </c>
    </row>
    <row r="35">
      <c r="A35" s="11">
        <f>Übersicht!B36</f>
        <v/>
      </c>
      <c r="B35" s="7">
        <f>RANK(Übersicht!K36,Übersicht!$K$5:$K$38)</f>
        <v/>
      </c>
      <c r="C35" s="7">
        <f>RANK(Übersicht!L36,Übersicht!$L$5:$L$38)</f>
        <v/>
      </c>
      <c r="D35" s="7">
        <f>RANK(Übersicht!M36,Übersicht!$M$5:$M$38)</f>
        <v/>
      </c>
      <c r="E35" s="7">
        <f>RANK(Übersicht!N36,Übersicht!$N$5:$N$38)</f>
        <v/>
      </c>
      <c r="F35" s="7">
        <f>RANK(Übersicht!O36,Übersicht!$O$5:$O$38)</f>
        <v/>
      </c>
      <c r="G35" s="7">
        <f>RANK(Übersicht!P36,Übersicht!$P$5:$P$38)</f>
        <v/>
      </c>
      <c r="H35" s="7">
        <f>RANK(Übersicht!Q36,Übersicht!$Q$5:$Q$38)</f>
        <v/>
      </c>
      <c r="I35" s="7">
        <f>RANK(Übersicht!R36,Übersicht!$R$5:$R$38)</f>
        <v/>
      </c>
    </row>
    <row r="36">
      <c r="A36" s="11">
        <f>Übersicht!B37</f>
        <v/>
      </c>
      <c r="B36" s="7">
        <f>RANK(Übersicht!K37,Übersicht!$K$5:$K$38)</f>
        <v/>
      </c>
      <c r="C36" s="7">
        <f>RANK(Übersicht!L37,Übersicht!$L$5:$L$38)</f>
        <v/>
      </c>
      <c r="D36" s="7">
        <f>RANK(Übersicht!M37,Übersicht!$M$5:$M$38)</f>
        <v/>
      </c>
      <c r="E36" s="7">
        <f>RANK(Übersicht!N37,Übersicht!$N$5:$N$38)</f>
        <v/>
      </c>
      <c r="F36" s="7">
        <f>RANK(Übersicht!O37,Übersicht!$O$5:$O$38)</f>
        <v/>
      </c>
      <c r="G36" s="7">
        <f>RANK(Übersicht!P37,Übersicht!$P$5:$P$38)</f>
        <v/>
      </c>
      <c r="H36" s="7">
        <f>RANK(Übersicht!Q37,Übersicht!$Q$5:$Q$38)</f>
        <v/>
      </c>
      <c r="I36" s="7">
        <f>RANK(Übersicht!R37,Übersicht!$R$5:$R$38)</f>
        <v/>
      </c>
    </row>
    <row r="37">
      <c r="A37" s="11">
        <f>Übersicht!B38</f>
        <v/>
      </c>
      <c r="B37" s="7">
        <f>RANK(Übersicht!K38,Übersicht!$K$5:$K$38)</f>
        <v/>
      </c>
      <c r="C37" s="7">
        <f>RANK(Übersicht!L38,Übersicht!$L$5:$L$38)</f>
        <v/>
      </c>
      <c r="D37" s="7">
        <f>RANK(Übersicht!M38,Übersicht!$M$5:$M$38)</f>
        <v/>
      </c>
      <c r="E37" s="7">
        <f>RANK(Übersicht!N38,Übersicht!$N$5:$N$38)</f>
        <v/>
      </c>
      <c r="F37" s="7">
        <f>RANK(Übersicht!O38,Übersicht!$O$5:$O$38)</f>
        <v/>
      </c>
      <c r="G37" s="7">
        <f>RANK(Übersicht!P38,Übersicht!$P$5:$P$38)</f>
        <v/>
      </c>
      <c r="H37" s="7">
        <f>RANK(Übersicht!Q38,Übersicht!$Q$5:$Q$38)</f>
        <v/>
      </c>
      <c r="I37" s="7">
        <f>RANK(Übersicht!R38,Übersicht!$R$5:$R$38)</f>
        <v/>
      </c>
    </row>
  </sheetData>
  <conditionalFormatting sqref="B4:I3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0" t="inlineStr">
        <is>
          <t>Top 5 je Eigenschaft (bei Gleichstand: günstigeres Modell zuerst)</t>
        </is>
      </c>
    </row>
    <row r="3" ht="60" customHeight="1">
      <c r="A3" s="5" t="inlineStr">
        <is>
          <t>OCR Maschinentext aus PDF</t>
        </is>
      </c>
      <c r="B3" s="5" t="inlineStr">
        <is>
          <t>OCR Maschinentext aus Bildern</t>
        </is>
      </c>
      <c r="C3" s="5" t="inlineStr">
        <is>
          <t>OCR Handschrift aus PDF</t>
        </is>
      </c>
      <c r="D3" s="5" t="inlineStr">
        <is>
          <t>OCR Handschrift aus Bildern</t>
        </is>
      </c>
      <c r="E3" s="5" t="inlineStr">
        <is>
          <t>DOCX im Layout identisch zur PDF-Vorlage</t>
        </is>
      </c>
      <c r="F3" s="5" t="inlineStr">
        <is>
          <t>Text- &amp; Datenextraktion aus PDF (Produkt, Charge, Materialnr.)</t>
        </is>
      </c>
      <c r="G3" s="5" t="inlineStr">
        <is>
          <t>Inhaltliche Zusammenfassung</t>
        </is>
      </c>
    </row>
    <row r="4">
      <c r="A4" s="8" t="inlineStr">
        <is>
          <t>1. GPT-6 Astra (10)</t>
        </is>
      </c>
      <c r="B4" s="8" t="inlineStr">
        <is>
          <t>1. GPT-6 Astra (10)</t>
        </is>
      </c>
      <c r="C4" s="8" t="inlineStr">
        <is>
          <t>1. Gemini 3.8 Flash (9)</t>
        </is>
      </c>
      <c r="D4" s="8" t="inlineStr">
        <is>
          <t>1. Gemini 3.8 Flash (9)</t>
        </is>
      </c>
      <c r="E4" s="8" t="inlineStr">
        <is>
          <t>1. Claude Opus 5.5 (10)</t>
        </is>
      </c>
      <c r="F4" s="8" t="inlineStr">
        <is>
          <t>1. Claude Opus 5.5 (10)</t>
        </is>
      </c>
      <c r="G4" s="8" t="inlineStr">
        <is>
          <t>1. Claude Opus 5.5 (10)</t>
        </is>
      </c>
    </row>
    <row r="5">
      <c r="A5" s="8" t="inlineStr">
        <is>
          <t>2. Gemini 3.6 Flash (9)</t>
        </is>
      </c>
      <c r="B5" s="8" t="inlineStr">
        <is>
          <t>2. Gemini 3.6 Flash (9)</t>
        </is>
      </c>
      <c r="C5" s="8" t="inlineStr">
        <is>
          <t>2. GPT-6.1 Sol (9)</t>
        </is>
      </c>
      <c r="D5" s="8" t="inlineStr">
        <is>
          <t>2. GPT-6.1 Sol (9)</t>
        </is>
      </c>
      <c r="E5" s="8" t="inlineStr">
        <is>
          <t>2. Claude Opus 5 (10)</t>
        </is>
      </c>
      <c r="F5" s="8" t="inlineStr">
        <is>
          <t>2. GPT-6 Astra (10)</t>
        </is>
      </c>
      <c r="G5" s="8" t="inlineStr">
        <is>
          <t>2. Claude Opus 5 (10)</t>
        </is>
      </c>
    </row>
    <row r="6">
      <c r="A6" s="8" t="inlineStr">
        <is>
          <t>3. Gemini 3.8 Flash (9)</t>
        </is>
      </c>
      <c r="B6" s="8" t="inlineStr">
        <is>
          <t>3. Gemini 3.8 Flash (9)</t>
        </is>
      </c>
      <c r="C6" s="8" t="inlineStr">
        <is>
          <t>3. GPT-6 Astra (9)</t>
        </is>
      </c>
      <c r="D6" s="8" t="inlineStr">
        <is>
          <t>3. GPT-6 Astra (9)</t>
        </is>
      </c>
      <c r="E6" s="8" t="inlineStr">
        <is>
          <t>3. GPT-6 Sol (9)</t>
        </is>
      </c>
      <c r="F6" s="8" t="inlineStr">
        <is>
          <t>3. Gemini 3.8 Flash (9)</t>
        </is>
      </c>
      <c r="G6" s="8" t="inlineStr">
        <is>
          <t>3. GPT-6 Astra (10)</t>
        </is>
      </c>
    </row>
    <row r="7">
      <c r="A7" s="8" t="inlineStr">
        <is>
          <t>4. GPT-6 Sol (9)</t>
        </is>
      </c>
      <c r="B7" s="8" t="inlineStr">
        <is>
          <t>4. GPT-6 Sol (9)</t>
        </is>
      </c>
      <c r="C7" s="8" t="inlineStr">
        <is>
          <t>4. Gemini 3.6 Flash (8)</t>
        </is>
      </c>
      <c r="D7" s="8" t="inlineStr">
        <is>
          <t>4. Gemini 3.6 Flash (8)</t>
        </is>
      </c>
      <c r="E7" s="8" t="inlineStr">
        <is>
          <t>4. GPT-6.1 Sol (9)</t>
        </is>
      </c>
      <c r="F7" s="8" t="inlineStr">
        <is>
          <t>4. GPT-6 Sol (9)</t>
        </is>
      </c>
      <c r="G7" s="8" t="inlineStr">
        <is>
          <t>4. GPT-6 Sol (9)</t>
        </is>
      </c>
    </row>
    <row r="8">
      <c r="A8" s="8" t="inlineStr">
        <is>
          <t>5. GPT-6.1 Sol (9)</t>
        </is>
      </c>
      <c r="B8" s="8" t="inlineStr">
        <is>
          <t>5. GPT-6.1 Sol (9)</t>
        </is>
      </c>
      <c r="C8" s="8" t="inlineStr">
        <is>
          <t>5. GPT-6 Sol (8)</t>
        </is>
      </c>
      <c r="D8" s="8" t="inlineStr">
        <is>
          <t>5. GPT-6 Sol (8)</t>
        </is>
      </c>
      <c r="E8" s="8" t="inlineStr">
        <is>
          <t>5. Claude Sonnet 5 (9)</t>
        </is>
      </c>
      <c r="F8" s="8" t="inlineStr">
        <is>
          <t>5. GPT-6.1 Sol (9)</t>
        </is>
      </c>
      <c r="G8" s="8" t="inlineStr">
        <is>
          <t>5. GPT-6.1 Sol (9)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2" t="inlineStr">
        <is>
          <t>Bewertungsskala</t>
        </is>
      </c>
      <c r="B1" s="2" t="inlineStr">
        <is>
          <t>1 = ungeeignet, 10 = sehr gut. Es handelt sich um eine qualitative Einschätzung auf Basis von Modellgeneration, Modellklasse (Pro/Opus/Flash/Lite), Herstellerangaben und öffentlich verfügbaren Benchmarks. Für die genannten Einzelaufgaben gibt es keine einheitlichen, öffentlich gemessenen Werte für alle 34 Modelle.</t>
        </is>
      </c>
    </row>
    <row r="2">
      <c r="A2" s="12" t="inlineStr">
        <is>
          <t>Empfehlung</t>
        </is>
      </c>
      <c r="B2" s="2" t="inlineStr">
        <is>
          <t>Vor einer Entscheidung 20–50 reale Bayer-Dokumente (Scans, Fotos, Handschrift, Formulare) als Testset mit 3–5 Kandidaten durchlaufen lassen und Trefferquoten messen.</t>
        </is>
      </c>
    </row>
    <row r="3">
      <c r="A3" s="12" t="inlineStr">
        <is>
          <t>Kosten für Bayer</t>
        </is>
      </c>
      <c r="B3" s="2" t="inlineStr">
        <is>
          <t>Kosten in myGenAssist werden pro Nutzung abgerechnet; jede Division hat ein monatliches Budget, der Preis pro Prompt hängt von Eingabe, Antwort und Modell ab und wird unter jeder Antwort angezeigt. Eine modellbezogene Bayer-Preisliste wurde im BayerNet nicht gefunden. Daher sind öffentliche API-Listenpreise (USD pro 1 Mio. Tokens) als Näherung angegeben.</t>
        </is>
      </c>
    </row>
    <row r="4">
      <c r="A4" s="12" t="inlineStr">
        <is>
          <t>Beispielkosten</t>
        </is>
      </c>
      <c r="B4" s="2" t="inlineStr">
        <is>
          <t>Formel: Inputpreis + 0,2 × Outputpreis = Kosten für 1 Mio. Input-Tokens und 200.000 Output-Tokens (grob ca. 500–700 Seiten PDF-Text). Bilder/Scans erzeugen zusätzliche Tokens.</t>
        </is>
      </c>
    </row>
    <row r="5">
      <c r="A5" s="12" t="inlineStr">
        <is>
          <t>Gewichtung</t>
        </is>
      </c>
      <c r="B5" s="2" t="inlineStr">
        <is>
          <t>In Zeile 3 des Blatts 'Übersicht' lässt sich die Gewichtung je Kriterium (0–10) ändern; Gesamtscore und Ränge rechnen automatisch neu.</t>
        </is>
      </c>
    </row>
    <row r="6">
      <c r="A6" s="12" t="inlineStr">
        <is>
          <t>Preis-Leistungs-Rang</t>
        </is>
      </c>
      <c r="B6" s="2" t="inlineStr">
        <is>
          <t>Gesamtscore geteilt durch Beispielkosten; nur für Modelle mit bekanntem Input- und Outputpreis.</t>
        </is>
      </c>
    </row>
    <row r="7">
      <c r="A7" s="12" t="inlineStr">
        <is>
          <t>DOCX layoutgetreu</t>
        </is>
      </c>
      <c r="B7" s="2" t="inlineStr">
        <is>
          <t>Kein Sprachmodell erzeugt DOCX-Dateien direkt. Das Ergebnis hängt davon ab, ob die Plattform Code-Ausführung bzw. Dateierzeugung (z. B. python-docx) anbietet. Bewertet wird die Fähigkeit des Modells, Layout zu erkennen und passenden Code zu schreiben. Pixelgenaue Übereinstimmung mit einer PDF-Vorlage ist mit keinem Modell garantiert.</t>
        </is>
      </c>
    </row>
    <row r="8">
      <c r="A8" s="12" t="inlineStr">
        <is>
          <t>Handschrift</t>
        </is>
      </c>
      <c r="B8" s="2" t="inlineStr">
        <is>
          <t>Handschrift ist für alle Modelle deutlich schwieriger als Maschinentext. Bei Chargen- und Materialnummern unbedingt eine Prüfung durch Menschen (Vier-Augen-Prinzip) bzw. einen Abgleich mit Stammdaten (Format/Prüfziffer) einplanen.</t>
        </is>
      </c>
    </row>
    <row r="9">
      <c r="A9" s="12" t="inlineStr">
        <is>
          <t>PDF vs. Bild</t>
        </is>
      </c>
      <c r="B9" s="2" t="inlineStr">
        <is>
          <t>Bei PDFs mit Textebene ist keine OCR nötig. Bei gescannten PDFs entspricht die Leistung etwa der bei Bildern. Die Ergebnisse hängen auch davon ab, wie myGenAssist PDFs vorverarbeitet.</t>
        </is>
      </c>
    </row>
    <row r="10">
      <c r="A10" s="12" t="inlineStr">
        <is>
          <t>Nur-Text-Modelle</t>
        </is>
      </c>
      <c r="B10" s="2" t="inlineStr">
        <is>
          <t>Bei GPT-OSS-120B, DeepSeek-V4.1-Flash, GLM-5 und GLM-5.2 wurde keine Bildeingabe bestätigt. OCR ist dort nur über eine vorgeschaltete Textextraktion durch die Plattform möglich, daher die niedrige OCR-Bewertung.</t>
        </is>
      </c>
    </row>
    <row r="11">
      <c r="A11" s="12" t="inlineStr">
        <is>
          <t>Datenqualität</t>
        </is>
      </c>
      <c r="B11" s="2" t="inlineStr">
        <is>
          <t>Erscheinungsdaten und Preise stammen aus Herstellerseiten und Fachpresse (siehe 'Quellen'). Als unsicher markierte Werte sind in der Spalte 'Hinweis Kosten' bzw. 'Erscheinungsdatum' gekennzeichnet. Preise können sich jederzeit ändern.</t>
        </is>
      </c>
    </row>
    <row r="12">
      <c r="A12" s="12" t="inlineStr">
        <is>
          <t>Datenschutz</t>
        </is>
      </c>
      <c r="B12" s="2" t="inlineStr">
        <is>
          <t>myGenAssist darf mit 'Internal'- und 'Restricted'-Daten genutzt werden. Für 'Secret'-Daten ist es nicht freigegeben.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BayerNet: GenAI – When to use what 2026 (myGenAssist: Gebühren pro Nutzung, monatliches Budget pro Nutzer; Internal/Restricted)</t>
        </is>
      </c>
    </row>
    <row r="2">
      <c r="A2" s="2" t="inlineStr">
        <is>
          <t>BayerNet: myGenAssist – what do you want to know the most? (Kostenmodell, Budget je Division)</t>
        </is>
      </c>
    </row>
    <row r="3">
      <c r="A3" s="2" t="inlineStr">
        <is>
          <t>https://www.anthropic.com/news/claude-opus-4-5 | /claude-opus-4-6 | /claude-opus-4-7 | /claude-opus-4-8 | /claude-opus-5 | /claude-opus-5-5 | /claude-sonnet-4-5 | /claude-sonnet-4-6 | /claude-sonnet-5</t>
        </is>
      </c>
    </row>
    <row r="4">
      <c r="A4" s="2" t="inlineStr">
        <is>
          <t>https://platform.claude.com/docs/en/about-claude/pricing</t>
        </is>
      </c>
    </row>
    <row r="5">
      <c r="A5" s="2" t="inlineStr">
        <is>
          <t>https://blog.google (Gemini 3 Flash, 3.1 Flash-Lite, 3.6 Flash / 3.5 Flash-Lite, 3.8 Flash); https://ai.google.dev/gemini-api/docs/pricing; Google Cloud Agent Platform Pricing</t>
        </is>
      </c>
    </row>
    <row r="6">
      <c r="A6" s="2" t="inlineStr">
        <is>
          <t>https://www.digitalapplied.com/blog/google-gemini-3-1-pro-benchmarks-pricing-guide</t>
        </is>
      </c>
    </row>
    <row r="7">
      <c r="A7" s="2" t="inlineStr">
        <is>
          <t>https://openai.com/index/introducing-gpt-5-2 | introducing-gpt-5-4 | introducing-gpt-5-5 | gpt-5-6 | advancing-the-price-performance-frontier-with-gpt-5-6 | gpt-6-astra | introducing-gpt-6-sol-and-luna | introducing-gpt-6-1-sol</t>
        </is>
      </c>
    </row>
    <row r="8">
      <c r="A8" s="2" t="inlineStr">
        <is>
          <t>https://artificialanalysis.ai/articles/gpt-6-sol-and-luna-push-the-cost-efficiency-frontier; https://www.yottalabs.ai/post/gpt-6-astra-pricing-api-cost-2026</t>
        </is>
      </c>
    </row>
    <row r="9">
      <c r="A9" s="2" t="inlineStr">
        <is>
          <t>https://blog.brokk.ai/gpt-5-4-ranked/ (Preise GPT-5.1 / 5.2 / 5.4)</t>
        </is>
      </c>
    </row>
    <row r="10">
      <c r="A10" s="2" t="inlineStr">
        <is>
          <t>https://northflank.com/blog/what-is-kimi-k3-self-hosting (Kimi K3 Preise); https://tosea.ai/blog/kimi-k3-complete-guide (Release)</t>
        </is>
      </c>
    </row>
    <row r="11">
      <c r="A11" s="2" t="inlineStr">
        <is>
          <t>https://x.ai/news/grok-4-6</t>
        </is>
      </c>
    </row>
    <row r="12">
      <c r="A12" s="2" t="inlineStr">
        <is>
          <t>https://www.deepseek.com/en/news/deepseek-v4-1-flash/</t>
        </is>
      </c>
    </row>
    <row r="13">
      <c r="A13" s="2" t="inlineStr">
        <is>
          <t>https://z.ai/blog/glm-5.2; https://openrouter.ai/z-ai/glm-5.2</t>
        </is>
      </c>
    </row>
    <row r="14">
      <c r="A14" s="2" t="inlineStr">
        <is>
          <t>https://artificialanalysis.ai/models/comparisons/qwen3-8-27b-vs-glm-5-2</t>
        </is>
      </c>
    </row>
    <row r="15">
      <c r="A15" s="2" t="inlineStr">
        <is>
          <t>https://fireworks.ai/blog/best-llms-for-coding (gpt-oss-120b)</t>
        </is>
      </c>
    </row>
    <row r="16">
      <c r="A16" s="2" t="inlineStr">
        <is>
          <t>https://ofox.ai/blog/best-ai-model-for-ocr-2026/ (OCR-Benchmark: Gemini 3.1 Pro ~90,3; GPT-5.4 ~85,8)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2026-10-07T05:10:21Z</dcterms:created>
  <dcterms:modified xmlns:dcterms="http://purl.org/dc/terms/" xmlns:xsi="http://www.w3.org/2001/XMLSchema-instance" xsi:type="dcterms:W3CDTF">2026-10-07T05:10:21Z</dcterms:modified>
</cp:coreProperties>
</file>