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defaultThemeVersion="166925"/>
  <mc:AlternateContent xmlns:mc="http://schemas.openxmlformats.org/markup-compatibility/2006">
    <mc:Choice Requires="x15">
      <x15ac:absPath xmlns:x15ac="http://schemas.microsoft.com/office/spreadsheetml/2010/11/ac" url="https://bayergroup.sharepoint.com/sites/AIUseCasePV-Complaint-Management/Shared Documents/AI Use case/Complaint process automation/"/>
    </mc:Choice>
  </mc:AlternateContent>
  <xr:revisionPtr revIDLastSave="973" documentId="8_{BD7FB1A4-D718-4525-A07D-EC46DAACA5BE}" xr6:coauthVersionLast="47" xr6:coauthVersionMax="47" xr10:uidLastSave="{10CCF96D-9B2A-47C0-AC35-1AAF4929A184}"/>
  <bookViews>
    <workbookView xWindow="-165" yWindow="-165" windowWidth="51930" windowHeight="21210" firstSheet="1" activeTab="1" xr2:uid="{3E96AAF3-334D-453C-8CBE-974CE50F3AB0}"/>
  </bookViews>
  <sheets>
    <sheet name="URS" sheetId="3" r:id="rId1"/>
    <sheet name="IQMS-fields" sheetId="6" r:id="rId2"/>
    <sheet name="Requirement Quality Check" sheetId="8" r:id="rId3"/>
  </sheets>
  <definedNames>
    <definedName name="_xlnm._FilterDatabase" localSheetId="1" hidden="1">'IQMS-fields'!$A$2:$G$97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8" i="3" l="1" a="1"/>
  <c r="AB8"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<sst xmlns="http://schemas.openxmlformats.org/spreadsheetml/2006/main" count="1155" uniqueCount="724">
  <si>
    <r>
      <rPr>
        <b/>
        <sz val="11"/>
        <color rgb="FF000000"/>
        <rFont val="Calibri"/>
        <scheme val="minor"/>
      </rPr>
      <t xml:space="preserve">Scope: 
</t>
    </r>
    <r>
      <rPr>
        <sz val="11"/>
        <color rgb="FF000000"/>
        <rFont val="Calibri"/>
        <scheme val="minor"/>
      </rPr>
      <t>The goal of this URS is to determine technical requirements for Process improvement for PTC Complaint processes
This spread sheet can be transferred to ValDevOps</t>
    </r>
  </si>
  <si>
    <t xml:space="preserve">CM:= Complaint Manager
PV:= Pharmacovigilance
PTC:= Product Technical Complaint
AE:= Adverse Event
RQU:= Responsible Quality Unit
CQH:= Country Quality Head
CQU:= Country Quality Unit
</t>
  </si>
  <si>
    <r>
      <rPr>
        <b/>
        <sz val="11"/>
        <color theme="1"/>
        <rFont val="Calibri"/>
        <family val="2"/>
        <scheme val="minor"/>
      </rPr>
      <t>Background</t>
    </r>
    <r>
      <rPr>
        <sz val="11"/>
        <color theme="1"/>
        <rFont val="Calibri"/>
        <family val="2"/>
        <scheme val="minor"/>
      </rPr>
      <t xml:space="preserve">
Description of the current process: BPMN
Managment of "product technical complaints" PTC is a global process at pharmaceutical companys and regulated by authorities. Each Complaints needs to be registered, assessed and if needed investigated for root cause and impact. Complaints are received in various ways (phone calls, forms (paper and electronic) Email.. All complaints are collected electronically in a "Ticket-System". Assingment to the complaint managers and initial assessment is done in the ticket system after translation into English. All complaint reports are analysed for the extent of information Only Cases which are PTCs or PTC in combination with adverse effects (AE) are registered in the complaint management system (IQMS) and triage / criticality and impact is assessed. In IQMS also all issue and product related information are collected as far as possible and prepared for subsequent process steps (local closure or investigation) </t>
    </r>
  </si>
  <si>
    <t>Responsibilities</t>
  </si>
  <si>
    <t>Process Owner: Helene Janzen</t>
  </si>
  <si>
    <t>Prozess-Experte/SME</t>
  </si>
  <si>
    <t>technische Projektleitung: Sina Sander</t>
  </si>
  <si>
    <t>User Requirements</t>
  </si>
  <si>
    <t>Functional specification</t>
  </si>
  <si>
    <t>Risk Analysis</t>
  </si>
  <si>
    <t>Risk Assessment</t>
  </si>
  <si>
    <t xml:space="preserve">Risk Mitigation
</t>
  </si>
  <si>
    <t>Traceability Matrix</t>
  </si>
  <si>
    <t>Nächste freie ID</t>
  </si>
  <si>
    <t>Epic / User story</t>
  </si>
  <si>
    <t>URS-ID</t>
  </si>
  <si>
    <t>Category</t>
  </si>
  <si>
    <t>User Requirement</t>
  </si>
  <si>
    <t>Kommentare (Paolo)</t>
  </si>
  <si>
    <t>Kommentare ( Stefan )</t>
  </si>
  <si>
    <t>Kommentare (    )2</t>
  </si>
  <si>
    <t>Kommentare (   GBS CRBR )</t>
  </si>
  <si>
    <t>Helpful Links</t>
  </si>
  <si>
    <r>
      <rPr>
        <b/>
        <sz val="11"/>
        <color theme="1"/>
        <rFont val="Calibri"/>
        <family val="2"/>
        <scheme val="minor"/>
      </rPr>
      <t>Assessment:</t>
    </r>
    <r>
      <rPr>
        <sz val="11"/>
        <color theme="1"/>
        <rFont val="Calibri"/>
        <family val="2"/>
        <scheme val="minor"/>
      </rPr>
      <t xml:space="preserve"> </t>
    </r>
    <r>
      <rPr>
        <sz val="8"/>
        <color theme="1"/>
        <rFont val="Calibri"/>
        <family val="2"/>
        <scheme val="minor"/>
      </rPr>
      <t>mandatory oder nice-to have</t>
    </r>
  </si>
  <si>
    <t>description of features and design</t>
  </si>
  <si>
    <r>
      <rPr>
        <b/>
        <sz val="11"/>
        <color theme="1"/>
        <rFont val="Calibri"/>
        <family val="2"/>
        <scheme val="minor"/>
      </rPr>
      <t xml:space="preserve">REQ fulfilled
</t>
    </r>
    <r>
      <rPr>
        <b/>
        <sz val="8"/>
        <color theme="1"/>
        <rFont val="Calibri"/>
        <family val="2"/>
        <scheme val="minor"/>
      </rPr>
      <t xml:space="preserve"> </t>
    </r>
    <r>
      <rPr>
        <sz val="8"/>
        <color theme="1"/>
        <rFont val="Calibri"/>
        <family val="2"/>
        <scheme val="minor"/>
      </rPr>
      <t>(ja, nein, teilweise)</t>
    </r>
  </si>
  <si>
    <t>RA-ID</t>
  </si>
  <si>
    <t>Denkbares Risiko</t>
  </si>
  <si>
    <t>Auswirkung</t>
  </si>
  <si>
    <t>Ursache</t>
  </si>
  <si>
    <t>Mitigation</t>
  </si>
  <si>
    <t>D</t>
  </si>
  <si>
    <t>O</t>
  </si>
  <si>
    <t>S</t>
  </si>
  <si>
    <t>Risikozahl</t>
  </si>
  <si>
    <t>Maßnahme (RZ &gt; 9)</t>
  </si>
  <si>
    <t xml:space="preserve"> punch-list-item</t>
  </si>
  <si>
    <t>test-reference</t>
  </si>
  <si>
    <t>test phase</t>
  </si>
  <si>
    <t>Succesful</t>
  </si>
  <si>
    <r>
      <t xml:space="preserve">Complaint intake. It must be possible for any private person or Healthcare professional to submit complaints in an easy and user friendly way. It must be possible to utilize "normal" communication tools such as </t>
    </r>
    <r>
      <rPr>
        <b/>
        <sz val="11"/>
        <color theme="1"/>
        <rFont val="Calibri"/>
        <family val="2"/>
        <scheme val="minor"/>
      </rPr>
      <t>phone</t>
    </r>
    <r>
      <rPr>
        <sz val="11"/>
        <color theme="1"/>
        <rFont val="Calibri"/>
        <family val="2"/>
        <scheme val="minor"/>
      </rPr>
      <t xml:space="preserve"> or </t>
    </r>
    <r>
      <rPr>
        <b/>
        <sz val="11"/>
        <color theme="1"/>
        <rFont val="Calibri"/>
        <family val="2"/>
        <scheme val="minor"/>
      </rPr>
      <t>email</t>
    </r>
    <r>
      <rPr>
        <sz val="11"/>
        <color theme="1"/>
        <rFont val="Calibri"/>
        <family val="2"/>
        <scheme val="minor"/>
      </rPr>
      <t xml:space="preserve">. Emails are today accepted in an ticket tool "ServiceNow" to allow inital sorting and allocation to a complaint manager. The ticket tool allows communication with submitter
The intention is to provide a standardized </t>
    </r>
    <r>
      <rPr>
        <b/>
        <sz val="11"/>
        <color theme="1"/>
        <rFont val="Calibri"/>
        <family val="2"/>
        <scheme val="minor"/>
      </rPr>
      <t xml:space="preserve">submission platform </t>
    </r>
    <r>
      <rPr>
        <sz val="11"/>
        <color theme="1"/>
        <rFont val="Calibri"/>
        <family val="2"/>
        <scheme val="minor"/>
      </rPr>
      <t>as additional option for electronical submission, fasttrack 2.0, to assure complete and high quality complaint submission and intake into Bayer-internal systems 
it can happen, that Complaints are initially accepted at ARGUS or Miidas and forwarded to IQMS via established interface (less than 10 % of all submissions</t>
    </r>
  </si>
  <si>
    <t>REQ-001</t>
  </si>
  <si>
    <t>Intake Channels</t>
  </si>
  <si>
    <t>The Complaint Manager shall be able to receive complaints forwarded from Safetrack/ARGUS via the ARGUS-IQMS interface in order to capture Complaints which were misrouted to PV in the automation solution.
The interface beween ARGUS and IQMS is established and the data fields which are transferred are described:
https://dev.azure.com/ValDevOps-1/IQMS/_workitems/edit/155447</t>
  </si>
  <si>
    <r>
      <t xml:space="preserve">What exactly does this mean? Has a PTC been forwarded to IQMS, and should the CM be informed about it by IQMS?
</t>
    </r>
    <r>
      <rPr>
        <i/>
        <sz val="11"/>
        <rFont val="Calibri"/>
        <family val="2"/>
        <scheme val="minor"/>
      </rPr>
      <t>answer: the interface between ARGUS and IQMS is already established</t>
    </r>
    <r>
      <rPr>
        <sz val="11"/>
        <rFont val="Calibri"/>
        <family val="2"/>
        <scheme val="minor"/>
      </rPr>
      <t xml:space="preserve">
General question:
When complaints are transferred from ARGUS to IQMS, do they contain all the information required for further processing?
For example:
- Translations of attachments
- Batch number
- Product name
- Country from which the complaint was reported
- Any other relevant information</t>
    </r>
  </si>
  <si>
    <t>REQ-002</t>
  </si>
  <si>
    <t>The Complaint Manager shall be able to receive complaints submitted via phone through MedInfo (Conduent/Miidas) via the Miidas-IQMS interface in order to capture all complaint channels in the automation solution.
A Miidas- IQMS interface is already established
https://dev.azure.com/ValDevOps-1/IQMS/_workitems/edit/152628</t>
  </si>
  <si>
    <t>More or less the same question as above (REQ-002). What exactly does it mean? Data already translated and complete?</t>
  </si>
  <si>
    <t>REQ-003</t>
  </si>
  <si>
    <t xml:space="preserve">The Complaint Manager shall be able to receive complaints via country-specific addresses (e.g., PTCGermany@bayer.com) in order to identify the country of origin for proper complaint routing. </t>
  </si>
  <si>
    <t>See below the entire email PTC email address for PTC (discussed and solved)</t>
  </si>
  <si>
    <r>
      <t xml:space="preserve">How does this relate to SDRA?
Could we use SDRA as the intake channel for incoming emails? Since SDRA already has an interface to ARGUS, it seems that we could potentially receive complaints through this route.
</t>
    </r>
    <r>
      <rPr>
        <i/>
        <sz val="11"/>
        <rFont val="Calibri"/>
        <family val="2"/>
        <scheme val="minor"/>
      </rPr>
      <t>answer: this is no argument for SDRA. A limited number of cases are forwarded from ARGUS after being registered there
Currently Service now is used and it can distinguish the country of origin by reasing the email adress</t>
    </r>
    <r>
      <rPr>
        <sz val="11"/>
        <rFont val="Calibri"/>
        <family val="2"/>
        <scheme val="minor"/>
      </rPr>
      <t xml:space="preserve">
Is this process flow generally feasible, or is it not possible?
If not, just out of curiosity, what are the reasons or constraints that would prevent such an approach?</t>
    </r>
  </si>
  <si>
    <t>PTC Contact list</t>
  </si>
  <si>
    <t>REQ-004</t>
  </si>
  <si>
    <t>The Complaint Manager shall be able to receive complaints via specific addresses which group several countrys of origin. (e.g., qualitycomplaints-belux@bayer.com) in order to narrow potential country of origin for proper complaint routing. 
In case of grouped email-Adress the country of origin has to be identified from the description, the email footer or the sender has to be contacted</t>
  </si>
  <si>
    <t>See comment req-003
This functionality was shown in the SDRA presentation, at least based on my understanding.</t>
  </si>
  <si>
    <t>added on 2026-07-21 (Ewe)</t>
  </si>
  <si>
    <t>REQ-005</t>
  </si>
  <si>
    <t>The system shall be able to consolidate multiple country-specific email addresses into a single inbox in order to simplify automation processing.
In case one Email adress is shared by several countrys it is expected to land in the same inbox</t>
  </si>
  <si>
    <t>Only if the Country of origin of the PTC is recognizable (discussed and solved)</t>
  </si>
  <si>
    <r>
      <t xml:space="preserve">To what extent this approach would simplify the automation is something I would leave aside for the moment.
See comment req-003
This functionality was shown in the SDRA presentation, at least based on my understanding.
</t>
    </r>
    <r>
      <rPr>
        <i/>
        <sz val="11"/>
        <rFont val="Calibri"/>
        <family val="2"/>
        <scheme val="minor"/>
      </rPr>
      <t>Is a function of service now - current solution</t>
    </r>
  </si>
  <si>
    <t>REQ-006</t>
  </si>
  <si>
    <t>The system shall be able to integrate with the Safetrack Successor electronic form (safetrack 2.0) either via structured email, direct IQMS interface, or structured file formats (XML, JSON, CSV) in order to enable future digital complaint submission.</t>
  </si>
  <si>
    <t>It should be possible to prevent direct entering in IQMS in case of doubtful cases, preventing spamming. (discussed and solved)</t>
  </si>
  <si>
    <t>There exist already an interface to ARGUS that needs to be updated in case ARGUS will be replaced by something else.</t>
  </si>
  <si>
    <t>REQ-007</t>
  </si>
  <si>
    <t xml:space="preserve">There shall be no automatic enty of PTCs submitted via Safetrack 2.0 into IQMS. There shall be an intermission platform where the submitted PTCs are intitally assessed if they are Spam, ads or Cyber Security issues. </t>
  </si>
  <si>
    <t>GBS receives duplicates cases from SafeTrack. GBS agrees that no automatic entries should be performed. Ideally, the system should be able to identify duplicates.</t>
  </si>
  <si>
    <r>
      <t xml:space="preserve">There are two steps of assement 
</t>
    </r>
    <r>
      <rPr>
        <b/>
        <sz val="11"/>
        <color theme="1"/>
        <rFont val="Calibri"/>
        <family val="2"/>
        <scheme val="minor"/>
      </rPr>
      <t xml:space="preserve">step 1: initial assessment : </t>
    </r>
    <r>
      <rPr>
        <sz val="11"/>
        <color theme="1"/>
        <rFont val="Calibri"/>
        <family val="2"/>
        <scheme val="minor"/>
      </rPr>
      <t xml:space="preserve">is the submitted report really a complaint or spam or AE or something else
identified Complaint undergo a </t>
    </r>
    <r>
      <rPr>
        <b/>
        <sz val="11"/>
        <color theme="1"/>
        <rFont val="Calibri"/>
        <family val="2"/>
        <scheme val="minor"/>
      </rPr>
      <t>step 2: triage</t>
    </r>
    <r>
      <rPr>
        <sz val="11"/>
        <color theme="1"/>
        <rFont val="Calibri"/>
        <family val="2"/>
        <scheme val="minor"/>
      </rPr>
      <t xml:space="preserve"> of the complaint</t>
    </r>
  </si>
  <si>
    <t>REQ-008</t>
  </si>
  <si>
    <t>Triage &amp; Validation</t>
  </si>
  <si>
    <t xml:space="preserve"> There needs to be an assessment for duplicates. Entry of duplicates into IQMS must be prevented if possible. 
Potential duplicate submission shall be tagged and submitted for assessment by an Human before forwarding to IQMS - criteria for duplicate recognition: identical wording in the description or identical photo or a combination of patient with a product and batch number. </t>
  </si>
  <si>
    <t>-&gt; This is a comment to the comment next to this.
Where in the current process flow are duplicate complaints identified and handled?</t>
  </si>
  <si>
    <t>Currently duplicate identification is completely based on experience. It is always a combination of attributes that leads to duplicate identification</t>
  </si>
  <si>
    <t>REQ-009</t>
  </si>
  <si>
    <t>The organization shall be able to implement a comprehensive training and communication strategy for the electronic submission form in order to ensure global adoption by pharma referents, sales representatives, HCPs, and pharmacies.</t>
  </si>
  <si>
    <t>-no comment-</t>
  </si>
  <si>
    <t>REQ-010</t>
  </si>
  <si>
    <t xml:space="preserve">The system shall maintain compatibility with existing GBS email addresses (see link) in order to ensure continuity for external partners without requiring change management.
</t>
  </si>
  <si>
    <t>Complaints which are submitted via mail or form are usually submitted in local language. It is expected that they are registered in IQMS in English. As of now a translation agency provides translations. For this all descriptions from the Email and from any attachment are printed as pdf and then submitted via sharepoint. After 6 h a translation is available. 
The expectation is that the solution can provide an ad hoc translation to English</t>
  </si>
  <si>
    <t>REQ-011</t>
  </si>
  <si>
    <t>Translation</t>
  </si>
  <si>
    <t>The system shall automatically translate cases received via ARGUS or Miidas interface that are not in English in order to ensure consistent language processing.</t>
  </si>
  <si>
    <r>
      <t xml:space="preserve">Regarding </t>
    </r>
    <r>
      <rPr>
        <b/>
        <sz val="11"/>
        <rFont val="Calibri"/>
        <family val="2"/>
        <scheme val="minor"/>
      </rPr>
      <t>ARGUS</t>
    </r>
    <r>
      <rPr>
        <sz val="11"/>
        <rFont val="Calibri"/>
        <family val="2"/>
        <scheme val="minor"/>
      </rPr>
      <t xml:space="preserve">
If ARGUS receives its data exclusively from SDRA, then I would expect the guiding principle to be that translation and the highest possible level of </t>
    </r>
    <r>
      <rPr>
        <b/>
        <sz val="11"/>
        <rFont val="Calibri"/>
        <family val="2"/>
        <scheme val="minor"/>
      </rPr>
      <t>data enrichment</t>
    </r>
    <r>
      <rPr>
        <sz val="11"/>
        <rFont val="Calibri"/>
        <family val="2"/>
        <scheme val="minor"/>
      </rPr>
      <t xml:space="preserve"> should take place within </t>
    </r>
    <r>
      <rPr>
        <b/>
        <sz val="11"/>
        <rFont val="Calibri"/>
        <family val="2"/>
        <scheme val="minor"/>
      </rPr>
      <t>SDRA</t>
    </r>
    <r>
      <rPr>
        <sz val="11"/>
        <rFont val="Calibri"/>
        <family val="2"/>
        <scheme val="minor"/>
      </rPr>
      <t xml:space="preserve">.
In that case, the complaint information passed on to downstream systems should already be as complete and standardized as possible.
Regarding </t>
    </r>
    <r>
      <rPr>
        <b/>
        <sz val="11"/>
        <rFont val="Calibri"/>
        <family val="2"/>
        <scheme val="minor"/>
      </rPr>
      <t>Miidas</t>
    </r>
    <r>
      <rPr>
        <sz val="11"/>
        <rFont val="Calibri"/>
        <family val="2"/>
        <scheme val="minor"/>
      </rPr>
      <t xml:space="preserve">
I had assumed that complaints received via telephone and processed through Miidas would be captured directly in English. Is that not the case? If not, could you explain why?
</t>
    </r>
    <r>
      <rPr>
        <i/>
        <sz val="11"/>
        <rFont val="Calibri"/>
        <family val="2"/>
        <scheme val="minor"/>
      </rPr>
      <t>answer: miidas cases are captured in Englisch. A minority of cases com via Miidas. Appr. 80 % come via Email</t>
    </r>
    <r>
      <rPr>
        <sz val="11"/>
        <rFont val="Calibri"/>
        <family val="2"/>
        <scheme val="minor"/>
      </rPr>
      <t xml:space="preserve">
I would appreciate a more detailed explanation of the business process from Miidas to IQMS.</t>
    </r>
    <r>
      <rPr>
        <i/>
        <sz val="11"/>
        <rFont val="Calibri"/>
        <family val="2"/>
        <scheme val="minor"/>
      </rPr>
      <t xml:space="preserve"> https://dev.azure.com/ValDevOps-1/IQMS/_workitems/edit/8925</t>
    </r>
  </si>
  <si>
    <t>GREAT 2.0: The Next Step Toward Scalable AI Translations in BRAVE
GREAT 2.0 expands AI-supported translations from its original English-to-Spanish capability to support 57 languages and multiple translation directions. Fully integrated into BRAVE, it helps create high-quality first-draft translations while preserving document context and supporting terminology consistency through glossary control. 
Read more:　Inside GREAT 2.0: The Next Step Toward Scalable AI Translations in BRAVE</t>
  </si>
  <si>
    <t>REQ-012</t>
  </si>
  <si>
    <t>The system shall provide automated translation for all non-English information entered in IQMS in order to enable global case review and processing.</t>
  </si>
  <si>
    <t>Please also add further information on the following aspects:
Is preserving the original formatting/layout important, or is it acceptable if the formatting changes during translation or processing?
If the extraction of information from images (e.g., OCR of screenshots, scanned documents, or embedded images) is considered part of the translation process, please explicitly mention this here as well.
In particular, it would be helpful to understand whether the translation scope is limited to textual content only or whether it also includes the extraction and translation of information contained within images and other non-editable content.</t>
  </si>
  <si>
    <t>REQ-013</t>
  </si>
  <si>
    <t xml:space="preserve">The Quality Manager shall be able to assess translation quality by comparing automated translation with the current external translation service in order to validate the solution meets quality standards for a aggreed period of time during the hyper care phase (first three month after Go-Live
The translation quality needs to be assessed
a process is introduced that translation quality is spot-checked by Quality international native speakers </t>
  </si>
  <si>
    <r>
      <t xml:space="preserve">How do you envision comparing and measuring the quality of the translations?
From my perspective, we should use historical complaints as part of the testing process and have them translated by the AI solution. We could then present both translations, the AI-generated translation and the original translation provided by the translation agency, to an independent reviewer who has not previously been involved in the process.
Ideally, the reviewer would not know which translation was produced by the AI and which one came from the translation agency (blind review).
</t>
    </r>
    <r>
      <rPr>
        <i/>
        <sz val="11"/>
        <rFont val="Calibri"/>
        <family val="2"/>
        <scheme val="minor"/>
      </rPr>
      <t xml:space="preserve">The team discussed to use the translation service in parallel to the new </t>
    </r>
    <r>
      <rPr>
        <sz val="11"/>
        <rFont val="Calibri"/>
        <family val="2"/>
        <scheme val="minor"/>
      </rPr>
      <t xml:space="preserve">
The evaluation criteria could include:
- Accuracy of the translation
- Completeness of the translated content
- Correct interpretation of
   - medical,
   - pharmaceutical, and
   - complaint-related terminology
- Readability and clarity
- Consistency of terminology
- Preservation of the original meaning and context
In addition, it would be useful to define objective acceptance criteria and a scoring model to ensure that the assessment is as transparent and unbiased as possible.
Or, do you have a different approach in mind for evaluating and measuring translation quality?</t>
    </r>
  </si>
  <si>
    <t>Will this apply only during the system validation phase, or will it reamin im place on a permanent basis?</t>
  </si>
  <si>
    <t xml:space="preserve">quality must be equal and costs must be smaller and processing time quicker than current solution (60 €/case, 6 h processing time)
</t>
  </si>
  <si>
    <t>REQ-014</t>
  </si>
  <si>
    <t>The translation service shall support all European languages, Russian, Arabic, and official languages of African and Asian states in order to process complaints from all global markets.</t>
  </si>
  <si>
    <t>REQ-015</t>
  </si>
  <si>
    <t>The translation service shall be able to handle slang language, grammar errors, and typos reliably in order to maintain the meaning and context of the original complaint.</t>
  </si>
  <si>
    <t>REQ-016</t>
  </si>
  <si>
    <t>The system shall be able to translate complaint attachments including photos, PDF scans, handwritten forms, and screenshots, storing both original and translated versions in order to ensure complete documentation of all complaint evidence.</t>
  </si>
  <si>
    <t>REQ-017</t>
  </si>
  <si>
    <t>The system shall automatically trigger AI-based translation to English upon receipt of a complaint in order to enable efficient processing of international complaints.</t>
  </si>
  <si>
    <t>Man</t>
  </si>
  <si>
    <t>REQ-018</t>
  </si>
  <si>
    <t>The translation quality shall be sufficient to eliminate the need for regular country quality organization review in order to reduce processing time and manual effort.</t>
  </si>
  <si>
    <t>See my comment regarding REQ-013</t>
  </si>
  <si>
    <t>REQ-019</t>
  </si>
  <si>
    <t>The Complaint Manager shall assess PTCs according to categories defined in the SOPs in order to ensure standardized and compliant complaint classification.</t>
  </si>
  <si>
    <r>
      <rPr>
        <b/>
        <sz val="11"/>
        <rFont val="Calibri"/>
        <family val="2"/>
        <scheme val="minor"/>
      </rPr>
      <t xml:space="preserve">Why should the CM perform this activity?
</t>
    </r>
    <r>
      <rPr>
        <sz val="11"/>
        <rFont val="Calibri"/>
        <family val="2"/>
        <scheme val="minor"/>
      </rPr>
      <t xml:space="preserve">Our objective is that the AI should carry out this assessment on our behalf based on the applicable SOPs.
BTW: Please </t>
    </r>
    <r>
      <rPr>
        <sz val="11"/>
        <color rgb="FFFF0000"/>
        <rFont val="Calibri"/>
        <family val="2"/>
        <scheme val="minor"/>
      </rPr>
      <t>list</t>
    </r>
    <r>
      <rPr>
        <sz val="11"/>
        <rFont val="Calibri"/>
        <family val="2"/>
        <scheme val="minor"/>
      </rPr>
      <t xml:space="preserve"> all relevant </t>
    </r>
    <r>
      <rPr>
        <sz val="11"/>
        <color rgb="FFFF0000"/>
        <rFont val="Calibri"/>
        <family val="2"/>
        <scheme val="minor"/>
      </rPr>
      <t>SOPs</t>
    </r>
    <r>
      <rPr>
        <sz val="11"/>
        <rFont val="Calibri"/>
        <family val="2"/>
        <scheme val="minor"/>
      </rPr>
      <t xml:space="preserve"> in this requirement!!
Therefore, I would suggest </t>
    </r>
    <r>
      <rPr>
        <b/>
        <sz val="11"/>
        <color theme="1"/>
        <rFont val="Calibri"/>
        <family val="2"/>
        <scheme val="minor"/>
      </rPr>
      <t>rewriting</t>
    </r>
    <r>
      <rPr>
        <sz val="11"/>
        <rFont val="Calibri"/>
        <family val="2"/>
        <scheme val="minor"/>
      </rPr>
      <t xml:space="preserve"> the </t>
    </r>
    <r>
      <rPr>
        <b/>
        <sz val="11"/>
        <rFont val="Calibri"/>
        <family val="2"/>
        <scheme val="minor"/>
      </rPr>
      <t>requirement</t>
    </r>
    <r>
      <rPr>
        <sz val="11"/>
        <rFont val="Calibri"/>
        <family val="2"/>
        <scheme val="minor"/>
      </rPr>
      <t xml:space="preserve"> as follows:
The </t>
    </r>
    <r>
      <rPr>
        <b/>
        <sz val="11"/>
        <rFont val="Calibri"/>
        <family val="2"/>
        <scheme val="minor"/>
      </rPr>
      <t>AI</t>
    </r>
    <r>
      <rPr>
        <sz val="11"/>
        <rFont val="Calibri"/>
        <family val="2"/>
        <scheme val="minor"/>
      </rPr>
      <t xml:space="preserve"> shall</t>
    </r>
    <r>
      <rPr>
        <b/>
        <sz val="11"/>
        <rFont val="Calibri"/>
        <family val="2"/>
        <scheme val="minor"/>
      </rPr>
      <t xml:space="preserve"> assess PTCs</t>
    </r>
    <r>
      <rPr>
        <sz val="11"/>
        <rFont val="Calibri"/>
        <family val="2"/>
        <scheme val="minor"/>
      </rPr>
      <t xml:space="preserve"> according to the categories </t>
    </r>
    <r>
      <rPr>
        <b/>
        <sz val="11"/>
        <rFont val="Calibri"/>
        <family val="2"/>
        <scheme val="minor"/>
      </rPr>
      <t>defined in the applicable SOPs</t>
    </r>
    <r>
      <rPr>
        <sz val="11"/>
        <rFont val="Calibri"/>
        <family val="2"/>
        <scheme val="minor"/>
      </rPr>
      <t xml:space="preserve"> in order to ensure standardized and compliant complaint classification.
The </t>
    </r>
    <r>
      <rPr>
        <b/>
        <sz val="11"/>
        <rFont val="Calibri"/>
        <family val="2"/>
        <scheme val="minor"/>
      </rPr>
      <t>AI shall document</t>
    </r>
    <r>
      <rPr>
        <sz val="11"/>
        <rFont val="Calibri"/>
        <family val="2"/>
        <scheme val="minor"/>
      </rPr>
      <t xml:space="preserve"> its</t>
    </r>
    <r>
      <rPr>
        <b/>
        <sz val="11"/>
        <rFont val="Calibri"/>
        <family val="2"/>
        <scheme val="minor"/>
      </rPr>
      <t xml:space="preserve"> assessment</t>
    </r>
    <r>
      <rPr>
        <sz val="11"/>
        <rFont val="Calibri"/>
        <family val="2"/>
        <scheme val="minor"/>
      </rPr>
      <t xml:space="preserve"> and </t>
    </r>
    <r>
      <rPr>
        <b/>
        <sz val="11"/>
        <rFont val="Calibri"/>
        <family val="2"/>
        <scheme val="minor"/>
      </rPr>
      <t>rationale</t>
    </r>
    <r>
      <rPr>
        <sz val="11"/>
        <rFont val="Calibri"/>
        <family val="2"/>
        <scheme val="minor"/>
      </rPr>
      <t xml:space="preserve"> in a supporting (linked) </t>
    </r>
    <r>
      <rPr>
        <b/>
        <sz val="11"/>
        <rFont val="Calibri"/>
        <family val="2"/>
        <scheme val="minor"/>
      </rPr>
      <t>document</t>
    </r>
    <r>
      <rPr>
        <sz val="11"/>
        <rFont val="Calibri"/>
        <family val="2"/>
        <scheme val="minor"/>
      </rPr>
      <t xml:space="preserve"> using concise bullet points. This documentation shall provide sufficient transparency for the Complaint Manager (CM) to understand the reasoning behind the proposed classification, review the result, and make corrections if necessary.
(The supporting documentation should clearly reference the relevant SOP criteria that influenced the classification decision and highlight the key facts extracted from the complaint that were considered during the assessment. This ensures both traceability and auditability of the AI-assisted classification process.)</t>
    </r>
  </si>
  <si>
    <t>REQ-020</t>
  </si>
  <si>
    <t>The system shall be able to detect when multiple emails related to the same complaint in order to prevent duplicate case creation.</t>
  </si>
  <si>
    <t>See REQ-030/031 (was discussed)</t>
  </si>
  <si>
    <r>
      <t xml:space="preserve">What should be done with these multiple complaints? Please clarify how complaints of the same type related to the same issue, but submitted by </t>
    </r>
    <r>
      <rPr>
        <b/>
        <sz val="11"/>
        <rFont val="Calibri"/>
        <family val="2"/>
        <scheme val="minor"/>
      </rPr>
      <t>different individuals</t>
    </r>
    <r>
      <rPr>
        <sz val="11"/>
        <rFont val="Calibri"/>
        <family val="2"/>
        <scheme val="minor"/>
      </rPr>
      <t>, should be handled. In the traditional sense, these are not duplicates.
In a typical ticketing system, all notifications would be recorded and linked to a master ticket. How is this intended to work in this case?</t>
    </r>
  </si>
  <si>
    <t>REQ-021</t>
  </si>
  <si>
    <t>The system shall prevent emails flagged as non-PTCs from entering IQMS in order to maintain data quality in the complaint management system.</t>
  </si>
  <si>
    <t>REQ-022</t>
  </si>
  <si>
    <t>The system shall be able to identify and flag follow-up emails related to existing complaints, even after weeks or months, in order to maintain complete case documentation.</t>
  </si>
  <si>
    <t>-no comments-</t>
  </si>
  <si>
    <t>REQ-023</t>
  </si>
  <si>
    <t>The system shall be able to filter out non-PTC emails (spam, advertisements, non-product-related complaints) before IQMS intake in order to ensure only valid complaints enter the quality system.</t>
  </si>
  <si>
    <t>It is suggested, from my side, to safeguard a humna check before the entering in IQMS</t>
  </si>
  <si>
    <t>set up requirements for criteria when human interaction is necesary</t>
  </si>
  <si>
    <t>REQ-024</t>
  </si>
  <si>
    <t xml:space="preserve">Follow up emails shall be identified as follow up emails to an existing case and must not trigger intake into IQMS. In reply emails always the assigned case number has to be used. </t>
  </si>
  <si>
    <t xml:space="preserve">If the complaint already exists in IQMS and an additional email is received in the upstream system, should the existing complaint be updated?
If so, how should it be extended? For example:
Should a link to the new email be added? or
Should the email be attached as an additional attachment? or
Should the new information be merged into the existing complaint record in another way?
If the complaint is already in a completed status (e.g., Approved, Closed, or a similar state), should the complaint be reopened? </t>
  </si>
  <si>
    <t>REQ-025</t>
  </si>
  <si>
    <t>The system shall be able to analyze incoming complaints for completeness against IQMS required fields in order to identify missing information before case registration.</t>
  </si>
  <si>
    <t>Criteria similar to the ones of the "new" Safetrack</t>
  </si>
  <si>
    <t>A detailed field mapping is required. The specification should clearly identify which data elements from the incoming email are populated into which IQMS fields. In its current form, the requirement is too imprecise to support implementation and validation activities.</t>
  </si>
  <si>
    <t>REQ-026</t>
  </si>
  <si>
    <t>The system shall be able to categorize incoming emails (spam, advertisement, non-PTC product question, AE, stability issue, reimbursement request, divested product inquiry) in order to route them appropriately.</t>
  </si>
  <si>
    <t>See REQ-012 as key pre-requisite</t>
  </si>
  <si>
    <t>see REQ-019</t>
  </si>
  <si>
    <t>redundant? Reaction to the different sorts of non-PTCs</t>
  </si>
  <si>
    <t>REQ-027</t>
  </si>
  <si>
    <t>The system shall be able to automatically forward non-PTC but product-related emails to the correct department (AE→PV, questions→MedInfo, stability→CQ, reimbursement→Sales) in order to ensure proper handling of all inquiries.</t>
  </si>
  <si>
    <t>I suggest a human check before forwarding. At least in a initial phase.</t>
  </si>
  <si>
    <t>The requirement does not specify what should happen to the original incoming email after it has been forwarded.
Please define how the email and the forwarding activity should be documented to ensure full traceability and compliance. It should be clearly specified whether the original email remains in the source system, whether the forwarding action is logged, and which information must be retained for audit purposes. Without these details, the requirement is too ambiguous for implementation and validation.</t>
  </si>
  <si>
    <t>REQ-028</t>
  </si>
  <si>
    <t>The Complaint Manager shall be able to identify duplicate submissions and link related complaints from different sources (e.g., patient and doctor reporting the same issue) in order to prevent redundant processing and maintain case integrity.</t>
  </si>
  <si>
    <t>This requirement appears to contradict REQ-020. According to REQ-020, only a single complaint should be created in IQMS for a given issue. However, this requirement states that complaints related to the same issue should be linked together.
Please clarify the intended behavior and provide a more detailed description. Specifically, it should be defined whether:
only one master complaint is created and all subsequent reports are linked to it,
multiple complaints may exist for the same issue and are linked together, or
duplicate submissions are consolidated in another way.
The current wording is ambiguous and may lead to different implementation interpretations.</t>
  </si>
  <si>
    <t>REQ-029</t>
  </si>
  <si>
    <t>The Complaint Manager shall be able to group incoming complaints by their source email address in order to organize and prioritize complaint handling by region.
Complaints which belong to a certain country should be moved to a repository</t>
  </si>
  <si>
    <t>Grioued by Country as first level grouping (and potentially with more sub-levels depending on the content e.g., usability issue)</t>
  </si>
  <si>
    <t>REQ-030</t>
  </si>
  <si>
    <t>the criteria for sorting and groupint incoming complaints shall be defined as follows: 
- first level is PTC-adress
- second level category 1:   seriousness high risk complaint (severe harm) process in 1 day
- second level category 2: 5 days process time - PTC and PTC+AE
- second level category 3: 30 days process time: UI</t>
  </si>
  <si>
    <t>REQ-031</t>
  </si>
  <si>
    <t>The system shall be able to detect duplicate complaints across different submission sources (Miidas, ARGUS, direct email) in order to prevent redundant case processing.</t>
  </si>
  <si>
    <t>See REQ-030/031/021 (discussed and solved)</t>
  </si>
  <si>
    <t>duplicate to REQ-020</t>
  </si>
  <si>
    <t>REQ-032</t>
  </si>
  <si>
    <t>Communication</t>
  </si>
  <si>
    <t>The system shall be able to generate up to 3 repeated email requests for missing information in order to maximize data collection before case closure.</t>
  </si>
  <si>
    <t>-co comment-</t>
  </si>
  <si>
    <t>REQ-033</t>
  </si>
  <si>
    <t>Case Processing</t>
  </si>
  <si>
    <t>The Complaint Manager shall be able to register and close cases locally after unsuccessful contact attempts when information is insufficient in order to properly document incomplete complaints.</t>
  </si>
  <si>
    <t>The term"locally" is not sufficiently defined and requires clarification.
Does "locally" refer to the system upstream of IQMS (e.g., the intake or ticketing system), or does it refer to a local complaint handling process within IQMS itself?
Please specify in which system the case is expected to be registered, documented, and closed. The current wording is ambiguous and may lead to different implementation interpretations.</t>
  </si>
  <si>
    <t>REQ-034</t>
  </si>
  <si>
    <t>The Complaint Manager shall be able to start an investigation and notify RQU when minimum data is present despite incomplete information in order to ensure timely regulatory compliance within 5 days.
Minimum data: product name, batch-number, documenation  (see SOP 001-115 chapter 5.3.1.1)</t>
  </si>
  <si>
    <t xml:space="preserve">Not clear. Currently, the RQU is notified when data is complete. </t>
  </si>
  <si>
    <t>REQ-035</t>
  </si>
  <si>
    <t>The PTC processing system shall be able to distinguish between the personal data related to the affected patient and personal data of the reporting person (e.g. pharmacists, HCP or authority). If distinction is not possible a Hitl is activated. If disctinction is still not possible every attachment is moved to personal section</t>
  </si>
  <si>
    <t>REQ-036</t>
  </si>
  <si>
    <t>The system shall route attachments and descriptions containing sensitive personal data (patient name, address, diagnosis, prescription) to the IQMS personal data section instead of the attachment section in order to ensure data protection compliance.</t>
  </si>
  <si>
    <t>REQ-037</t>
  </si>
  <si>
    <t>The system shall be able to identify and flag documents containing personal data using AI-based detection in order to enable proper data protection handling.
Reliability has to be validated and assessed to which extent this has to be supervised by human</t>
  </si>
  <si>
    <t>After a human check (see REQ-39)</t>
  </si>
  <si>
    <t>REQ-038</t>
  </si>
  <si>
    <t>The system shall be able to upload attachments and email body content to the IQMS attachment section in order to maintain complete case documentation.</t>
  </si>
  <si>
    <t>See previous comment in the possibility to have before a humna check to avoid spams in IQMS (also dangerous for attachments not security safe)</t>
  </si>
  <si>
    <t>REQ-039</t>
  </si>
  <si>
    <t>The system shall be able to extract complaint data from email body, attachments, scans, pictures, and forms in order to automate data entry into IQMS.</t>
  </si>
  <si>
    <t>REQ-040</t>
  </si>
  <si>
    <t>The system shall process flagged personal data attachments differently from regular attachments in order to maintain data protection compliance in automated workflows.</t>
  </si>
  <si>
    <t>A clear definition of what constitutes personal data is required. The current requirement assumes that personal data can be identified and flagged, but it does not specify which data elements should be considered personal data.
Please provide explicit criteria and examples to ensure consistent implementation and validation.</t>
  </si>
  <si>
    <t>REQ-041</t>
  </si>
  <si>
    <t>The Complaint Manager shall be able to assign and reassign cases to complaint managers with visible assignment status in order to ensure clear accountability and coverage during absences.</t>
  </si>
  <si>
    <t>Since complaint management is performed within IQMS, I assume that this requirement should be implemented in IQMS, unless equivalent functionality is already available.
Please clarify whether this requirement introduces new functionality or refers to existing case assignment and reassignment capabilities within IQMS. If the functionality already exists, the requirement should explicitly reference the existing implementation to avoid ambiguity and duplicate development efforts.</t>
  </si>
  <si>
    <t>REQ-042</t>
  </si>
  <si>
    <t>The Complaint Manager shall be able to automatically initiate email responses in order to acknowledge receipt and communicate with complainants efficiently.
For Communication the email templates outlined in SOPs have to be used</t>
  </si>
  <si>
    <t>Following predefined templates (see REQ-005)</t>
  </si>
  <si>
    <t>REQ-005 says nothing regarding email templates. Please check or add further information.</t>
  </si>
  <si>
    <t>REQ-043</t>
  </si>
  <si>
    <t>The Complaint Manager shall be able to respond to and forward complaint emails while maintaining the complete conversation thread in order to inquire missing information and keep communication history intact.</t>
  </si>
  <si>
    <t>REQ-044</t>
  </si>
  <si>
    <t>The system shall be able to automatically communicate with CQU in order to meet regulatory reporting requirements. The CQU is responsible for communication with Health authorities</t>
  </si>
  <si>
    <t>The communicatio does not do directly to HA, but to the CQU (discussed and solved)</t>
  </si>
  <si>
    <t>Please clarify to what extent country-specific regulatory reporting requirements need to be considered.
In which system are these requirements expected to be applied and enforced? Are the country-specific requirements only relevant within the complaint management process in IQMS, or must they already be taken into account in the upstream intake systems?
Furthermore, can these country-specific requirements be defined and maintained in advance so that the necessary information can already be collected during the intake process? This would help ensure that all required regulatory information is available from the outset and avoid additional follow-up activities later in the process.
Without this clarification, it is unclear where the responsibility for handling country-specific regulatory requirements resides and at which stage of the process these requirements must be fulfilled.</t>
  </si>
  <si>
    <t>REQ-045</t>
  </si>
  <si>
    <t xml:space="preserve">The system shall generate a template-based feedback email upon case closure in order to inform complainants of the resolution.
For certain countries this response email has to be sent for CQH for review before sending to complainers, a list of countries where this applys can be provided </t>
  </si>
  <si>
    <t>The response letter should always be alighed with CQH</t>
  </si>
  <si>
    <t>REQ-046</t>
  </si>
  <si>
    <t xml:space="preserve">The system shall generate all response emails based on predefined templates in order to ensure consistency and compliance.
</t>
  </si>
  <si>
    <t>The same as REQ-005</t>
  </si>
  <si>
    <t>REQ-047</t>
  </si>
  <si>
    <t>The system shall generate responses based on SOP templates enriched with case-specific information in order to ensure consistent and compliant communication.</t>
  </si>
  <si>
    <t>REQ-048</t>
  </si>
  <si>
    <t>The system shall register submitted missing information and add it to IQMS in order to maintain complete and up-to-date case records.</t>
  </si>
  <si>
    <t>Based on the previous requirements, I assumed that all relevant complaint information is collected and completed within the upstream system before the complaint is transferred to IQMS. As a result, the complaint record created in IQMS would be complete at the time of creation.
This requirement suggests that additional information may be received after the complaint has already been created in IQMS.
Please clarify:
- Is it expected that further information needs to be requested and collected during the complaint management process in IQMS?
- If so, what types of information are typically missing at the time of complaint processing?
- How is the collection of missing information handled today?
- How should this process work in the future?
- How will additional information be linked to and documented within an existing complaint record?
- What should happen if the complaint has already reached a final state (e.g., Approved or Closed) when the additional information is received?
Without this clarification, it is unclear whether complaint creation in IQMS is expected to occur only after all required information has been collected or whether complaint records may remain incomplete and be updated throughout the complaint management process.</t>
  </si>
  <si>
    <t>REQ-049</t>
  </si>
  <si>
    <t>The system shall be able to group and assign all related communications from various partners to the same complaint in IQMS in order to maintain complete case history and context.</t>
  </si>
  <si>
    <t>REQ-050</t>
  </si>
  <si>
    <t>The system shall track contact attempts (up to 3) for missing information inquiries in order to document follow-up efforts.</t>
  </si>
  <si>
    <t>REQ-051</t>
  </si>
  <si>
    <t>The system shall track and display a complaint intake due date (5 days) in order to ensure timely processing compliance.</t>
  </si>
  <si>
    <t>REQ-052</t>
  </si>
  <si>
    <t xml:space="preserve">The system shall enforce contact attempt timing (minimum 1 attempts within 5 days, at least 48 hours between attempts) in order to ensure consistent follow-up procedures.
As soon as there is a reply the rule is no longer applied. The answer is assessed again and additional information is registered </t>
  </si>
  <si>
    <t>Rules to be confirmed</t>
  </si>
  <si>
    <t>GBS perform data colleaction within 10 days</t>
  </si>
  <si>
    <t>REQ-053</t>
  </si>
  <si>
    <t xml:space="preserve">As soon as there is a reply the rule is no longer applied. The answer is assessed again and additional information is registered. F information is still incomplete, one final attempt of contact is made
if information is still not provided the PTC case is registered incompleteley </t>
  </si>
  <si>
    <t>REQ-054</t>
  </si>
  <si>
    <t>it the submitted complaint is not a PTC but advertisement from external companys it shall be marked as junk and transferred to a junk-location
Advertisements are recognized by the follwing criteria: Description of an intact product. Senders are commercial companys.</t>
  </si>
  <si>
    <t>REQ-055</t>
  </si>
  <si>
    <t>it the submitted complaint is not a PTC but  malware/viruses  it shall be marked as dangerous and forwarded to the Bayer Cyber security Center. It must be prevented that harmful data is introduced and processed in IQMS 
malware/viruses are recognized by a virus scanner installed on the email accepting platform</t>
  </si>
  <si>
    <t>REQ-056</t>
  </si>
  <si>
    <t xml:space="preserve">It must be checked if the submitted complaint is a suspected counterfeit.
This can be assessed by the following criteria: 
</t>
  </si>
  <si>
    <t>The requirement is incomplete because the referenced counterfeit assessment criteria are not provided.
Please specify the exact criteria, rules, and decision logic that shall be used to identify a suspected counterfeit. Without this information, it is impossible to determine how the assessment should be performed or validated.</t>
  </si>
  <si>
    <t>REQ-057</t>
  </si>
  <si>
    <t>If the PTC is suspected counterfeit, the message shall be escalated to CGH</t>
  </si>
  <si>
    <t>The abbreviation CGH is not defined.
Please clarify whether CQH (Country Quality Head) is intended. If another role is meant, the abbreviation should be explicitly defined in the glossary and throughout the specification to avoid ambiguity.</t>
  </si>
  <si>
    <t>The system should send an escalation notification to CQH for these type of cases.</t>
  </si>
  <si>
    <t>REQ-058</t>
  </si>
  <si>
    <t>IQMS Integration</t>
  </si>
  <si>
    <t>The system shall automatically map and transfer extracted information from complaint emails and reports to the corresponding IQMS fields in order to pre-populate complaint records and reduce manual data entry.
Mandatory intake fields to be populated (as defined in IQMS-fields sheet):
- Country of Event / Incident
- Awareness Date
- Division
- Product Type
- Complaint Type
- Report Source
- Feedback Type
- Title (structured per SSC-PTC-SOP-001)
- Description (anonymized and translated)
- Batch / Serial Number Status
- Number of Complained Packages
- Photos Available for Investigation?
- Physical Sample Available for Return?
- Adverse Event Reported?
Additional fields if information is available:
- Country Where Product Purchased
- Date of Occurrence
- Initial Receipt Date
- Legal Manufacturer
- Owning Organization
- Batch/Material information
Note: Product-related fields (Division, Product Type, Legal Manufacturer, Owning Organization) are populated via REQ-059 (SynApps) and REQ-060 (Pharma-lists).</t>
  </si>
  <si>
    <t>REQ-059</t>
  </si>
  <si>
    <t xml:space="preserve">The solution shall have access to SynApps for Consumer Health products in order to fill the following fields
Owner
Division
product type
Legal Manufacturer
Owning organization
material number
Catalog Number / Marketing Product Name
</t>
  </si>
  <si>
    <t>The requirements regarding the retrieval and use of product master data need to be described in more detail.
Please specify:
- Which product master data attributes are required for complaint processing and how is the mapping to IQMS?
- Which system is considered the authoritative source for these data?
- At which stage of the process should the master data be retrieved and enriched?
- How should discrepancies between the complaint information and the master data be handled (if this can be the case)?
Furthermore, does SYNAPS provide a technical interface that can be used to retrieve product master data automatically, or would an alternative integration approach be required?</t>
  </si>
  <si>
    <t>REQ-060</t>
  </si>
  <si>
    <t xml:space="preserve">The solution shall have access to Pharma-lists  for Pharma products in order to fill the following fields
Owner
Division
product type
Legal Manufacturer
Owning organization
material number
Catalog Number / Marketing Product Name
</t>
  </si>
  <si>
    <t>This requirement needs to be further detailed.
Please clarify the nature of these pharma product lists and identify the underlying source systems. In particular:
- What type of lists are these (e.g., master data lists, reference tables, product catalogs, or manually maintained spreadsheets)?
- Which data source takes precedence in case of conflicting information, for example SYNAPS versus the pharma product lists?
- Are the data contained in these lists guaranteed to be unique and consistent?
- Can duplicate, conflicting, or ambiguous entries exist, and if so, how should such situations be handled?
- What is the expected behavior if a product cannot be uniquely identified based on the available information?
A clear definition of the data sources, data ownership, precedence rules, and data quality expectations is required to ensure consistent implementation and reliable population of the required fields.</t>
  </si>
  <si>
    <t>These lists need to be maintainend in an accessible system - ideally IQMS</t>
  </si>
  <si>
    <t xml:space="preserve">Product types differ between countries. e.g, BetaConnect is classified as combination product in USA and in other countries as medical device. </t>
  </si>
  <si>
    <t>REQ-061</t>
  </si>
  <si>
    <t>the correct product category shall be picked according to description in the complaint
For this a mapping table can be provided which identifies the correct product category for each product</t>
  </si>
  <si>
    <t>such a mappint list needs to be provided by the PTC experts - at leas for the IUD in the beginning</t>
  </si>
  <si>
    <t>REQ-063</t>
  </si>
  <si>
    <t>All files which are submitted together with a Complaint shall shall be stored for long-Term availability. Ideally the storage location is the IQMS system</t>
  </si>
  <si>
    <t>IQMS Entry</t>
  </si>
  <si>
    <t>Asterix inicates mandatory fields (minumum information)</t>
  </si>
  <si>
    <t>Section (IQMS)</t>
  </si>
  <si>
    <t>field</t>
  </si>
  <si>
    <t>Entry (what)</t>
  </si>
  <si>
    <t>Data input 
(Selection or manual enty)</t>
  </si>
  <si>
    <t>Comment</t>
  </si>
  <si>
    <t>origin of data</t>
  </si>
  <si>
    <t>Information given by Requester (R) or Internal (I)</t>
  </si>
  <si>
    <t>links</t>
  </si>
  <si>
    <t>Expected extraction from email/attachment?</t>
  </si>
  <si>
    <t>Team</t>
  </si>
  <si>
    <t>Owner</t>
  </si>
  <si>
    <t>name (RQU, CQU)</t>
  </si>
  <si>
    <t>manual entry</t>
  </si>
  <si>
    <t>only in case of investigation
(responsibilities are explained in the country specific SOPs including the lists) Helena Janzen, Silvie Sorie</t>
  </si>
  <si>
    <t>one list for Consumer health, 
one list for pharma to identify  the person, lists are provided by global Quality organisation)</t>
  </si>
  <si>
    <t>No</t>
  </si>
  <si>
    <t>Approver</t>
  </si>
  <si>
    <t>name (CQU, GBS)</t>
  </si>
  <si>
    <t>only in case of investigation</t>
  </si>
  <si>
    <t xml:space="preserve">Selection </t>
  </si>
  <si>
    <t>workflow timeline</t>
  </si>
  <si>
    <t>dates</t>
  </si>
  <si>
    <t>(date)</t>
  </si>
  <si>
    <t>automatic entry</t>
  </si>
  <si>
    <t>n/a</t>
  </si>
  <si>
    <t>System generated</t>
  </si>
  <si>
    <t>Intake</t>
  </si>
  <si>
    <t>Identifier</t>
  </si>
  <si>
    <t>Number</t>
  </si>
  <si>
    <t>Country of Event / Incident *</t>
  </si>
  <si>
    <t>Country</t>
  </si>
  <si>
    <t>look up list</t>
  </si>
  <si>
    <t>Use search bar to find an item, and then use the table below to make selection</t>
  </si>
  <si>
    <t>Email Text body, Complaint description or asked back; guessed from the email;  initial Complaint report</t>
  </si>
  <si>
    <t>R</t>
  </si>
  <si>
    <t>This is my contact for SYNAPS: Jean-Philippe Claude</t>
  </si>
  <si>
    <t>Yes</t>
  </si>
  <si>
    <t>f</t>
  </si>
  <si>
    <t>Country Where Product Purchased</t>
  </si>
  <si>
    <t xml:space="preserve">Use search bar to find an item, and then use the table below to make selection
</t>
  </si>
  <si>
    <t>Email Text body, initial Complaint report</t>
  </si>
  <si>
    <t>Date of Occurrence</t>
  </si>
  <si>
    <t>date</t>
  </si>
  <si>
    <t>Pick-list</t>
  </si>
  <si>
    <t>calendar function or "today" or entry in format YYYY-MM-DD</t>
  </si>
  <si>
    <t>Initial Receipt Date</t>
  </si>
  <si>
    <t>Awareness Date*</t>
  </si>
  <si>
    <t>calendar function or "today" or entry in format YYYY-MM-DD, date when Bayer (QA or GBS) becomes aware of the complaint  in a translated uderstood language</t>
  </si>
  <si>
    <t>Division *</t>
  </si>
  <si>
    <t>division</t>
  </si>
  <si>
    <t>Radiology, Pharma, CH</t>
  </si>
  <si>
    <t>SynApps or List for Pharma products or experience … (lists are incomplete)</t>
  </si>
  <si>
    <t>I</t>
  </si>
  <si>
    <t>Product Type *</t>
  </si>
  <si>
    <t>product type</t>
  </si>
  <si>
    <t>Combination Product Type</t>
  </si>
  <si>
    <t>only in case of combination product type</t>
  </si>
  <si>
    <t>List?</t>
  </si>
  <si>
    <t>Complaint Type *</t>
  </si>
  <si>
    <t>external or internal</t>
  </si>
  <si>
    <t>always "external"</t>
  </si>
  <si>
    <t>Report Source *</t>
  </si>
  <si>
    <t>e.g. spontaneous</t>
  </si>
  <si>
    <t>logical manual selection. Depends on the given context in the mail</t>
  </si>
  <si>
    <t>Feedback Type *</t>
  </si>
  <si>
    <t>e.g. Complaint</t>
  </si>
  <si>
    <t>Title *</t>
  </si>
  <si>
    <t>must follow a structure</t>
  </si>
  <si>
    <t>logical manual selection. Depends on the given context in the mail, Structure is given in SSC-PTC-SOP-001</t>
  </si>
  <si>
    <t>Description *</t>
  </si>
  <si>
    <t>email body/ Report</t>
  </si>
  <si>
    <t>copied from source</t>
  </si>
  <si>
    <t>Email Text body, initial Complaint report, need to be anonymized, and translated</t>
  </si>
  <si>
    <t>Comments</t>
  </si>
  <si>
    <t>optional</t>
  </si>
  <si>
    <t>e.g. Ref. ID</t>
  </si>
  <si>
    <t>e.g. name of report source platform</t>
  </si>
  <si>
    <t>Batch / Serial Number Status *</t>
  </si>
  <si>
    <t>Number of Complained Packages *</t>
  </si>
  <si>
    <t>Photos Available for Investigation? *</t>
  </si>
  <si>
    <t>yes/no fields</t>
  </si>
  <si>
    <t>Physical Sample Available for Return? *</t>
  </si>
  <si>
    <t>Why Physical Sample not Available/Needed</t>
  </si>
  <si>
    <t>Sample Description</t>
  </si>
  <si>
    <t>Adverse Event Reported? *</t>
  </si>
  <si>
    <t>MIIDAS AE Number</t>
  </si>
  <si>
    <t>sent from Miidas</t>
  </si>
  <si>
    <t>automatically</t>
  </si>
  <si>
    <t>MIIDAS Number (PTC)</t>
  </si>
  <si>
    <t>CRM / Reference Number</t>
  </si>
  <si>
    <t>Is being used, if there is another local reference number from other systems</t>
  </si>
  <si>
    <t>Legal Manufacturer</t>
  </si>
  <si>
    <t>company name</t>
  </si>
  <si>
    <t xml:space="preserve">list with external companys
needs to be used for medical devices </t>
  </si>
  <si>
    <t>Owning Organization *</t>
  </si>
  <si>
    <t>organisation which is responsible to perform/register the result of  the investigation (if performed somewhere else)</t>
  </si>
  <si>
    <t>Third Party? *</t>
  </si>
  <si>
    <t>yes/no fields
(in case an external manufacturer is part of the process)</t>
  </si>
  <si>
    <t>Catalog Number / Marketing Product Name</t>
  </si>
  <si>
    <t>only radiology</t>
  </si>
  <si>
    <t>ByApps</t>
  </si>
  <si>
    <t>Software Version Number</t>
  </si>
  <si>
    <t>only Medical device/Comb. Product</t>
  </si>
  <si>
    <t>Firmware Version Number</t>
  </si>
  <si>
    <t>Service Request Number</t>
  </si>
  <si>
    <t>Service Notification Number</t>
  </si>
  <si>
    <t>Service Organization</t>
  </si>
  <si>
    <t>Authority Reference Number</t>
  </si>
  <si>
    <t>documents from health authorities that containa reference</t>
  </si>
  <si>
    <t xml:space="preserve">intial Complaint description (pdf file) or email from Authorities </t>
  </si>
  <si>
    <t>Legacy System Number</t>
  </si>
  <si>
    <t>Dev@com-number</t>
  </si>
  <si>
    <t>follow up of old Dev@com cases</t>
  </si>
  <si>
    <t>Manual lookup in Dev@Com</t>
  </si>
  <si>
    <t>Number of Cases</t>
  </si>
  <si>
    <t>number (automatically "1")</t>
  </si>
  <si>
    <t>automatically set "1"</t>
  </si>
  <si>
    <t>A</t>
  </si>
  <si>
    <t>Local Closure?</t>
  </si>
  <si>
    <t>criteria defined in SOP</t>
  </si>
  <si>
    <t>Timeline</t>
  </si>
  <si>
    <t>standard/no standard</t>
  </si>
  <si>
    <t>Selection based on knowledge. Criteria described in SOP</t>
  </si>
  <si>
    <t>Current Due Date</t>
  </si>
  <si>
    <t>system generated</t>
  </si>
  <si>
    <t>Immediate Escalation Required?</t>
  </si>
  <si>
    <t>yes/no fields
If yes, reach out manually to responbible person</t>
  </si>
  <si>
    <t>Customer Data</t>
  </si>
  <si>
    <t>Reporter /Complainant type</t>
  </si>
  <si>
    <t>function (Healthcare rof., private person, pharmacists</t>
  </si>
  <si>
    <t>Customer Response Required? *</t>
  </si>
  <si>
    <t>Customer Forbids Further Contact? *</t>
  </si>
  <si>
    <t>specific Response Required</t>
  </si>
  <si>
    <t>Response Summary</t>
  </si>
  <si>
    <t>not used</t>
  </si>
  <si>
    <t>Persons</t>
  </si>
  <si>
    <t xml:space="preserve">name, adress, diagnosis
senstive attachments </t>
  </si>
  <si>
    <t>referenced data object</t>
  </si>
  <si>
    <t>Person object is generated with an automatic number. Contains senstivie information such as adress and sensitive attachments</t>
  </si>
  <si>
    <t>Impacted Organizations*</t>
  </si>
  <si>
    <t>manufacturer of the API or product</t>
  </si>
  <si>
    <t>derived from the batch number (need to be delivered by R)</t>
  </si>
  <si>
    <t>Batches</t>
  </si>
  <si>
    <t>referenced data objects</t>
  </si>
  <si>
    <t>obtained from the complaint description or the attachments</t>
  </si>
  <si>
    <t>Materials</t>
  </si>
  <si>
    <t>material number of finished good</t>
  </si>
  <si>
    <t>selected, when batch is not available</t>
  </si>
  <si>
    <t>various sources, Synapps, previous complaints, google, excel-lists</t>
  </si>
  <si>
    <t>parts</t>
  </si>
  <si>
    <t>radiology</t>
  </si>
  <si>
    <t>Immediate actions</t>
  </si>
  <si>
    <t>data objects which can be created and linked to the complaint</t>
  </si>
  <si>
    <t>Communication protocol</t>
  </si>
  <si>
    <t>Record Check results</t>
  </si>
  <si>
    <t>Error codes</t>
  </si>
  <si>
    <t>for CH and local closure and AE
pick list with a hierachy</t>
  </si>
  <si>
    <t>Best practice</t>
  </si>
  <si>
    <t>Investigation</t>
  </si>
  <si>
    <t>Summary and Conclusion</t>
  </si>
  <si>
    <t>Initial Review Date by QU*</t>
  </si>
  <si>
    <t>Initial Risk Classification*</t>
  </si>
  <si>
    <t>Counterfeit / Falsification Confirmed?*</t>
  </si>
  <si>
    <t>Investigation Summary and Conclusion*</t>
  </si>
  <si>
    <t>Conclusion on Complaint Description**</t>
  </si>
  <si>
    <t>Conclusion**</t>
  </si>
  <si>
    <t>Final Risk Classification**</t>
  </si>
  <si>
    <t>Origin of Issue or Defect**</t>
  </si>
  <si>
    <t>Defect Category**</t>
  </si>
  <si>
    <t>Extent of defect/impact on batches**</t>
  </si>
  <si>
    <t>Trend Identified?</t>
  </si>
  <si>
    <t>Organization where Root Cause Occurred</t>
  </si>
  <si>
    <t>Department where Root Cause Occurred</t>
  </si>
  <si>
    <t>depends on Root cause organisation</t>
  </si>
  <si>
    <t>Production Line / Packaging Line</t>
  </si>
  <si>
    <t>Component Involved in Complaint</t>
  </si>
  <si>
    <t>Sample Received at QU?*</t>
  </si>
  <si>
    <t>Date Sample Received at QU</t>
  </si>
  <si>
    <t>Sample Description at QU</t>
  </si>
  <si>
    <t>Rationale for Abbreviated Workflow</t>
  </si>
  <si>
    <t>Description of Manufacturer's Evaluation</t>
  </si>
  <si>
    <t>Manufacturer Initial Actions Implemented</t>
  </si>
  <si>
    <t>Description of the Action</t>
  </si>
  <si>
    <t>Risk Assessment Reviewed?</t>
  </si>
  <si>
    <t>Impact and Risk Analysis</t>
  </si>
  <si>
    <t>Is Risk Assessment Adequate?</t>
  </si>
  <si>
    <t>Did the Component Malfunction?</t>
  </si>
  <si>
    <t>Incident Involves Multiple Devices?</t>
  </si>
  <si>
    <t>Final Comments from Manufacturer</t>
  </si>
  <si>
    <t>Severity Category</t>
  </si>
  <si>
    <t>Final Reportability Determination?</t>
  </si>
  <si>
    <t>Projected Timing Final</t>
  </si>
  <si>
    <t>Root cause analysis</t>
  </si>
  <si>
    <t>Root causes</t>
  </si>
  <si>
    <t>IMDRF</t>
  </si>
  <si>
    <t>New Capa Action</t>
  </si>
  <si>
    <t>Referenced CAPA Action</t>
  </si>
  <si>
    <t>d</t>
  </si>
  <si>
    <t>Qualitätsprüfung der User Requirements – Complaint Management System</t>
  </si>
  <si>
    <t>Datum: 28.07.2026 | Geprüft: REQ-001 bis REQ-063 (62 Requirements, REQ-062 fehlt) | Analyst: AI Requirement Manager</t>
  </si>
  <si>
    <t>SECTION 1: EXECUTIVE SUMMARY</t>
  </si>
  <si>
    <t>Metrik</t>
  </si>
  <si>
    <t>Anzahl</t>
  </si>
  <si>
    <t>Bewertung</t>
  </si>
  <si>
    <t>Gesamtzahl Requirements</t>
  </si>
  <si>
    <t>Aktuelle Kategorien</t>
  </si>
  <si>
    <t>⚠️ Zu viele (Ziel: 5-7)</t>
  </si>
  <si>
    <t>Duplikate/Überlappungen</t>
  </si>
  <si>
    <t>~25 REQs in 10 Gruppen</t>
  </si>
  <si>
    <t>🔴 Konsolidierung nötig</t>
  </si>
  <si>
    <t>Fehlende Kategorie</t>
  </si>
  <si>
    <t>2 REQs</t>
  </si>
  <si>
    <t>⚠️ REQ-057 ohne Kategorie</t>
  </si>
  <si>
    <t>Unvollständige REQs</t>
  </si>
  <si>
    <t>🔴 REQ-056, REQ-058 unvollständig</t>
  </si>
  <si>
    <t>Formulierungsprobleme</t>
  </si>
  <si>
    <t>⚠️ Nachbesserung empfohlen</t>
  </si>
  <si>
    <t>Fehlende REQ-ID</t>
  </si>
  <si>
    <t>⚠️ REQ-062 fehlt in Sequenz</t>
  </si>
  <si>
    <t>Fehlende Requirements (Gaps)</t>
  </si>
  <si>
    <t>🔴 Kritische Lücken</t>
  </si>
  <si>
    <t>Typos in Kategorien</t>
  </si>
  <si>
    <t>⚠️ "IQMS Enty", "Cycer Security"</t>
  </si>
  <si>
    <t>SECTION 2: KATEGORIE-ANALYSE</t>
  </si>
  <si>
    <t>Aktuelle Kategorie</t>
  </si>
  <si>
    <t>Anzahl REQs</t>
  </si>
  <si>
    <t>Problem</t>
  </si>
  <si>
    <t>Empfehlung</t>
  </si>
  <si>
    <t>Neue Kategorie</t>
  </si>
  <si>
    <t>OK - aber inkl. Duplikaterkennung</t>
  </si>
  <si>
    <t>Aufteilen</t>
  </si>
  <si>
    <t>1. Intake &amp; Channels</t>
  </si>
  <si>
    <t>Intake Channels - duplicate assessment</t>
  </si>
  <si>
    <t>Eigene Kategorie für 1 REQ unnötig</t>
  </si>
  <si>
    <t>Zusammenlegen</t>
  </si>
  <si>
    <t>→ 2. Triage &amp; Validation</t>
  </si>
  <si>
    <t>OK</t>
  </si>
  <si>
    <t>Beibehalten</t>
  </si>
  <si>
    <t>3. Translation</t>
  </si>
  <si>
    <t>Classification &amp; Validation</t>
  </si>
  <si>
    <t>Sehr groß, heterogen</t>
  </si>
  <si>
    <t>Teils aufteilen</t>
  </si>
  <si>
    <t>🔴 Viel zu groß (36%)</t>
  </si>
  <si>
    <t>Aufteilen in 2-3</t>
  </si>
  <si>
    <t>4. Case Processing + 5. Communication</t>
  </si>
  <si>
    <t>triage-Criteria</t>
  </si>
  <si>
    <t>Typo, überlappt mit Classification</t>
  </si>
  <si>
    <t>Cycer Security</t>
  </si>
  <si>
    <t>🔴 Typo: "Cycer" statt "Cyber"</t>
  </si>
  <si>
    <t>Korrigieren &amp; integrieren</t>
  </si>
  <si>
    <t>IQMS Enty</t>
  </si>
  <si>
    <t>🔴 Typo: "Enty" statt "Entry"</t>
  </si>
  <si>
    <t>Korrigieren</t>
  </si>
  <si>
    <t>6. IQMS Integration</t>
  </si>
  <si>
    <t>File and data storage</t>
  </si>
  <si>
    <t>Zu klein für eigene Kategorie</t>
  </si>
  <si>
    <t>Integrieren</t>
  </si>
  <si>
    <t>→ 6. IQMS Integration</t>
  </si>
  <si>
    <t>(leer)</t>
  </si>
  <si>
    <t>🔴 REQ-057 ohne Kategorie</t>
  </si>
  <si>
    <t>Zuweisen</t>
  </si>
  <si>
    <t>EMPFOHLENE KATEGORIEN (6 statt 10):</t>
  </si>
  <si>
    <t>Nr.</t>
  </si>
  <si>
    <t>Umfasst (REQs)</t>
  </si>
  <si>
    <t>Beschreibung</t>
  </si>
  <si>
    <t>REQ-001 bis REQ-010</t>
  </si>
  <si>
    <t>Alle Eingangskanäle (Email, ARGUS, Miidas, Safetrack 2.0)</t>
  </si>
  <si>
    <t>REQ-019 bis REQ-031, REQ-054-057</t>
  </si>
  <si>
    <t>Klassifizierung, Duplikaterkennung, Spam/Malware-Filter, Counterfeit</t>
  </si>
  <si>
    <t>REQ-011 bis REQ-018</t>
  </si>
  <si>
    <t>Automatische Übersetzung &amp; Qualitätssicherung</t>
  </si>
  <si>
    <t>REQ-032 bis REQ-041, REQ-050-053</t>
  </si>
  <si>
    <t>Fallbearbeitung, Kontaktversuche, Fristen, Zuweisung</t>
  </si>
  <si>
    <t>REQ-042 bis REQ-049</t>
  </si>
  <si>
    <t>E-Mail-Templates, Antworten, Threading, CQU-Kommunikation</t>
  </si>
  <si>
    <t>REQ-058 bis REQ-063</t>
  </si>
  <si>
    <t>Feldbefüllung, SynApps/Pharma-Listen, Dateispeicherung</t>
  </si>
  <si>
    <t>SECTION 3: FORMULIERUNGSPROBLEME &amp; QUALITÄT</t>
  </si>
  <si>
    <t>REQ-ID</t>
  </si>
  <si>
    <t>Problem-Typ</t>
  </si>
  <si>
    <t>Aktueller Text (Auszug)</t>
  </si>
  <si>
    <t>Problem-Beschreibung</t>
  </si>
  <si>
    <t>Empfohlene Korrektur</t>
  </si>
  <si>
    <t>Priorität</t>
  </si>
  <si>
    <t>Unvollständig</t>
  </si>
  <si>
    <t>"...criteria: \n\n" (Text endet)</t>
  </si>
  <si>
    <t>Counterfeit-Kriterien fehlen komplett</t>
  </si>
  <si>
    <t>Kriterien ergänzen (z.B. Verpackung, Hologramm, Charge)</t>
  </si>
  <si>
    <t>HOCH</t>
  </si>
  <si>
    <t>Keine Kategorie</t>
  </si>
  <si>
    <t>"If the PTC is suspected counterfeit..."</t>
  </si>
  <si>
    <t>Keine Kategorie zugewiesen</t>
  </si>
  <si>
    <t>Kategorie "Triage &amp; Validation" zuweisen</t>
  </si>
  <si>
    <t>MITTEL</t>
  </si>
  <si>
    <t>"IQMS fields need to be filled..."</t>
  </si>
  <si>
    <t>Keine Feldliste angegeben</t>
  </si>
  <si>
    <t>Konkrete IQMS-Felder auflisten oder auf REQ-059/060 verweisen</t>
  </si>
  <si>
    <t>Kein Subjekt</t>
  </si>
  <si>
    <t>"As soon as there is a reply..."</t>
  </si>
  <si>
    <t>Kein "The system shall..." Format</t>
  </si>
  <si>
    <t>Umformulieren: "The system shall assess replies..."</t>
  </si>
  <si>
    <t>Vage</t>
  </si>
  <si>
    <t>"automatic communication with CQU"</t>
  </si>
  <si>
    <t>Wann? Was? Wie? unklar</t>
  </si>
  <si>
    <t>Trigger und Inhalt spezifizieren</t>
  </si>
  <si>
    <t>Org. vs. System</t>
  </si>
  <si>
    <t>Training and communication strategy</t>
  </si>
  <si>
    <t>Organisatorisch, kein System-Requirement</t>
  </si>
  <si>
    <t>Als "Organizational Requirement" kennzeichnen</t>
  </si>
  <si>
    <t>NIEDRIG</t>
  </si>
  <si>
    <t>Fehlende KPIs</t>
  </si>
  <si>
    <t>"validate quality standards"</t>
  </si>
  <si>
    <t>Keine messbaren Kriterien</t>
  </si>
  <si>
    <t>z.B. "95% Übersetzungsgenauigkeit, &lt;60€/Fall"</t>
  </si>
  <si>
    <t>"quality shall be sufficient"</t>
  </si>
  <si>
    <t>Definieren wann "sufficient" erreicht ist</t>
  </si>
  <si>
    <t>Gemischt</t>
  </si>
  <si>
    <t>Sortierkriterien + Prozesszeiten</t>
  </si>
  <si>
    <t>System-REQ + Prozess-SLA vermischt</t>
  </si>
  <si>
    <t>Aufteilen: Sortierlogik vs. SLA-Definition</t>
  </si>
  <si>
    <t>Abkürzung</t>
  </si>
  <si>
    <t>"Hitl"</t>
  </si>
  <si>
    <t>Abkürzung nicht erklärt</t>
  </si>
  <si>
    <t>"Human-in-the-Loop (HITL)" ausschreiben</t>
  </si>
  <si>
    <t>Typo</t>
  </si>
  <si>
    <t>"countrys"</t>
  </si>
  <si>
    <t>Rechtschreibfehler</t>
  </si>
  <si>
    <t>"countries" korrigieren</t>
  </si>
  <si>
    <t>Zeilenumbruch</t>
  </si>
  <si>
    <t>Text endet mit "\n"</t>
  </si>
  <si>
    <t>Formatierungsfehler</t>
  </si>
  <si>
    <t>Bereinigen</t>
  </si>
  <si>
    <t>Kategorie</t>
  </si>
  <si>
    <t>"Cycer Security"</t>
  </si>
  <si>
    <t>Sollte "Cyber Security" heißen</t>
  </si>
  <si>
    <t>SECTION 4: DUPLIKATE &amp; ÜBERLAPPUNGEN (Konsolidierungsempfehlung)</t>
  </si>
  <si>
    <t>Gruppe</t>
  </si>
  <si>
    <t>Thema</t>
  </si>
  <si>
    <t>Überlappende REQ-IDs</t>
  </si>
  <si>
    <t>Warum Duplikat</t>
  </si>
  <si>
    <t>D1</t>
  </si>
  <si>
    <t>Duplikat-Erkennung</t>
  </si>
  <si>
    <t>REQ-008, 020, 022, 024, 028, 031</t>
  </si>
  <si>
    <t>Alle behandeln Duplikat-/Follow-up-Erkennung</t>
  </si>
  <si>
    <t>Konsolidieren zu 1 REQ mit Akzeptanzkriterien</t>
  </si>
  <si>
    <t>D2</t>
  </si>
  <si>
    <t>Non-PTC Filterung</t>
  </si>
  <si>
    <t>REQ-007, 021, 023, 026, 027</t>
  </si>
  <si>
    <t>Alle Teil der Triage: Spam/Non-PTC filtern &amp; routen</t>
  </si>
  <si>
    <t>Konsolidieren zu "Non-PTC Triage &amp; Routing"</t>
  </si>
  <si>
    <t>D3</t>
  </si>
  <si>
    <t>Übersetzung</t>
  </si>
  <si>
    <t>REQ-011, 012, 014-018</t>
  </si>
  <si>
    <t>7 Aspekte EINER Funktion (Sprachen, Qualität, Trigger)</t>
  </si>
  <si>
    <t>Zusammenführen mit Akzeptanzkriterien</t>
  </si>
  <si>
    <t>D4</t>
  </si>
  <si>
    <t>Template-E-Mails</t>
  </si>
  <si>
    <t>REQ-042, 045, 046, 047</t>
  </si>
  <si>
    <t>Alle: automatische E-Mails aus SOP-Templates</t>
  </si>
  <si>
    <t>Konsolidieren zu "Template-based Communication"</t>
  </si>
  <si>
    <t>D5</t>
  </si>
  <si>
    <t>Kontaktversuche &amp; Fristen</t>
  </si>
  <si>
    <t>REQ-032, 050, 051, 052, 053</t>
  </si>
  <si>
    <t>5 REQs beschreiben dieselbe Kontaktversuch-Logik</t>
  </si>
  <si>
    <t>Konsolidieren zu "Fristenmanagement"</t>
  </si>
  <si>
    <t>D6</t>
  </si>
  <si>
    <t>Personendaten-Handling</t>
  </si>
  <si>
    <t>REQ-035, 036, 037, 040</t>
  </si>
  <si>
    <t>Alle: Erkennung/Routing sensibler Daten</t>
  </si>
  <si>
    <t>Konsolidieren zu "Personal Data Handling"</t>
  </si>
  <si>
    <t>D7</t>
  </si>
  <si>
    <t>Datenextraktion &amp; Upload</t>
  </si>
  <si>
    <t>REQ-038, 039, 048</t>
  </si>
  <si>
    <t>Extraktion aus E-Mail/Anhängen + Upload nach IQMS</t>
  </si>
  <si>
    <t>Konsolidieren</t>
  </si>
  <si>
    <t>D8</t>
  </si>
  <si>
    <t>E-Mail-Threading</t>
  </si>
  <si>
    <t>REQ-029, 043, 049</t>
  </si>
  <si>
    <t>Gruppierung von Kommunikation zu einem Fall</t>
  </si>
  <si>
    <t>Konsolidieren zu "Communication Threading"</t>
  </si>
  <si>
    <t>D9</t>
  </si>
  <si>
    <t>IQMS-Feldbefüllung</t>
  </si>
  <si>
    <t>REQ-058, 059, 060, 061</t>
  </si>
  <si>
    <t>4 REQs: IQMS-Felder aus verschiedenen Quellen</t>
  </si>
  <si>
    <t>Konsolidieren zu "IQMS Auto-Fill"</t>
  </si>
  <si>
    <t>D10</t>
  </si>
  <si>
    <t>Fallabschluss</t>
  </si>
  <si>
    <t>REQ-033, 034</t>
  </si>
  <si>
    <t>Zwei Pfade nach fehlgeschlagenen Kontaktversuchen</t>
  </si>
  <si>
    <t>Konsolidieren mit Entscheidungsbaum</t>
  </si>
  <si>
    <t>SECTION 5: FEHLENDE REQUIREMENTS (GAPS)</t>
  </si>
  <si>
    <t>GAP-ID</t>
  </si>
  <si>
    <t>Fehlendes Requirement</t>
  </si>
  <si>
    <t>Begründung</t>
  </si>
  <si>
    <t>Vorgeschlagener Text</t>
  </si>
  <si>
    <t>GAP-01</t>
  </si>
  <si>
    <t>Eskalationsprozess für kritische Beschwerden</t>
  </si>
  <si>
    <t>REQ-030 definiert Risikostufen, aber keine Eskalation bei Gesundheitsgefahr/Rückruf</t>
  </si>
  <si>
    <t>The system shall automatically escalate high-risk complaints (severe harm potential, recall indication) to designated quality managers within 4 hours.</t>
  </si>
  <si>
    <t>KRITISCH</t>
  </si>
  <si>
    <t>GAP-02</t>
  </si>
  <si>
    <t>Reporting</t>
  </si>
  <si>
    <t>Reporting &amp; KPI-Dashboard</t>
  </si>
  <si>
    <t>Keine REQs für: offene Fälle, Bearbeitungszeit, Fristüberschreitungen</t>
  </si>
  <si>
    <t>The system shall provide a dashboard showing open cases, processing times, SLA breaches, and complaint trends by category/region.</t>
  </si>
  <si>
    <t>GAP-03</t>
  </si>
  <si>
    <t>SLA-Überwachung &amp; Alerts</t>
  </si>
  <si>
    <t>Fristen definiert (5 Tage), aber keine automatischen Warnungen</t>
  </si>
  <si>
    <t>The system shall send automated alerts to complaint managers when cases approach or exceed defined SLA deadlines.</t>
  </si>
  <si>
    <t>GAP-04</t>
  </si>
  <si>
    <t>Audit &amp; Compliance</t>
  </si>
  <si>
    <t>Audit Trail / Änderungsprotokoll</t>
  </si>
  <si>
    <t>Für FDA 21 CFR Part 11 / GxP fehlt vollständiges Audit-Trail</t>
  </si>
  <si>
    <t>The system shall maintain a complete audit trail of all actions, changes, and access to complaint records per regulatory requirements.</t>
  </si>
  <si>
    <t>GAP-05</t>
  </si>
  <si>
    <t>Vertretungsregelung bei Abwesenheit</t>
  </si>
  <si>
    <t>REQ-041 erwähnt "reassign", aber keine systematische Logik</t>
  </si>
  <si>
    <t>The system shall support automatic reassignment rules based on absence calendars and backup assignments.</t>
  </si>
  <si>
    <t>GAP-06</t>
  </si>
  <si>
    <t>Integration</t>
  </si>
  <si>
    <t>Rückkanal von IQMS zur Automation</t>
  </si>
  <si>
    <t>Nur Eingang nach IQMS, keine Status-Updates zurück</t>
  </si>
  <si>
    <t>The system shall receive status updates from IQMS to reflect investigation progress in the automation platform.</t>
  </si>
  <si>
    <t>GAP-07</t>
  </si>
  <si>
    <t>User Management</t>
  </si>
  <si>
    <t>Rollen- und Berechtigungskonzept</t>
  </si>
  <si>
    <t>Keine Definition von User-Rollen (Complaint Manager, QA, Admin)</t>
  </si>
  <si>
    <t>The system shall enforce role-based access control with defined permissions for Complaint Managers, QA Reviewers, and Administrators.</t>
  </si>
  <si>
    <t>SECTION 6: FORMULIERUNGSSTANDARD FÜR USER REQUIREMENTS</t>
  </si>
  <si>
    <t>Empfohlene Struktur:</t>
  </si>
  <si>
    <t>The [Actor] shall be able to [Action] in order to [Business Benefit].</t>
  </si>
  <si>
    <t>Gute Beispiele:</t>
  </si>
  <si>
    <t>✓ REQ-001:</t>
  </si>
  <si>
    <t>The Complaint Manager shall be able to receive complaints forwarded from Safetrack/ARGUS...</t>
  </si>
  <si>
    <t>✓ REQ-025:</t>
  </si>
  <si>
    <t>The system shall be able to analyze incoming complaints for completeness against IQMS required fields...</t>
  </si>
  <si>
    <t>Schlechte Beispiele:</t>
  </si>
  <si>
    <t>✗ REQ-053:</t>
  </si>
  <si>
    <t>"As soon as there is a reply..." - Kein Subjekt, kein "shall"</t>
  </si>
  <si>
    <t>✗ REQ-056:</t>
  </si>
  <si>
    <t>"It must be checked if..." - Passiv, unvollständig</t>
  </si>
  <si>
    <t>✗ REQ-058:</t>
  </si>
  <si>
    <t>"IQMS fields need to be filled..." - Keine konkreten Felder</t>
  </si>
  <si>
    <t>CHECKLISTE FÜR JEDES REQUIREMENT:</t>
  </si>
  <si>
    <t>□</t>
  </si>
  <si>
    <t>Hat ein klares Subjekt (The system / The Complaint Manager / The QA Manager)</t>
  </si>
  <si>
    <t>Verwendet "shall" (obligatorisch) oder "should" (optional)</t>
  </si>
  <si>
    <t>Beschreibt EINE spezifische Funktion (nicht mehrere)</t>
  </si>
  <si>
    <t>Enthält einen Business-Nutzen ("in order to...")</t>
  </si>
  <si>
    <t>Ist testbar (Akzeptanzkriterien ableitbar)</t>
  </si>
  <si>
    <t>Enthält keine technischen Implementierungsdetails</t>
  </si>
  <si>
    <t>Ist frei von Rechtschreibfehlern und vollständig</t>
  </si>
  <si>
    <t>Hat eine eindeutige Kategorie zugewiesen</t>
  </si>
  <si>
    <t>SECTION 8: PRIORISIERTE HANDLUNGSEMPFEHLUNGEN</t>
  </si>
  <si>
    <t>Aktion</t>
  </si>
  <si>
    <t>Betroffene REQs</t>
  </si>
  <si>
    <t>Aufwand</t>
  </si>
  <si>
    <t>🔴 KRITISCH</t>
  </si>
  <si>
    <t>REQ-056 vervollständigen (Counterfeit-Kriterien)</t>
  </si>
  <si>
    <t>Gering</t>
  </si>
  <si>
    <t>GAP-01 hinzufügen: Eskalationsprozess</t>
  </si>
  <si>
    <t>NEU</t>
  </si>
  <si>
    <t>Mittel</t>
  </si>
  <si>
    <t>GAP-04 hinzufügen: Audit Trail (GxP/FDA)</t>
  </si>
  <si>
    <t>🔴 HOCH</t>
  </si>
  <si>
    <t>Typos korrigieren: "IQMS Enty"→"Entry", "Cycer"→"Cyber"</t>
  </si>
  <si>
    <t>Kategorien</t>
  </si>
  <si>
    <t>REQ-057 Kategorie zuweisen</t>
  </si>
  <si>
    <t>GAP-02 hinzufügen: Reporting &amp; Dashboard</t>
  </si>
  <si>
    <t>GAP-03 hinzufügen: SLA-Alerts</t>
  </si>
  <si>
    <t>⚠️ MITTEL</t>
  </si>
  <si>
    <t>Kategorien konsolidieren (10 → 6)</t>
  </si>
  <si>
    <t>Alle</t>
  </si>
  <si>
    <t>Duplikate konsolidieren (siehe D1-D10)</t>
  </si>
  <si>
    <t>~25 REQs</t>
  </si>
  <si>
    <t>Hoch</t>
  </si>
  <si>
    <t>REQ-053 umformulieren (Subjekt fehlt)</t>
  </si>
  <si>
    <t>REQ-013, REQ-018 KPIs ergänzen</t>
  </si>
  <si>
    <t>REQ-013, 018</t>
  </si>
  <si>
    <t>⚠️ NIEDRIG</t>
  </si>
  <si>
    <t>REQ-062 ID klären oder dokumentieren</t>
  </si>
  <si>
    <t>REQ-062</t>
  </si>
  <si>
    <t>Kleinere Typos korrigieren (countrys, etc.)</t>
  </si>
  <si>
    <t>Diverse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</si>
</sst>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
      <sz val="10"/>
      <color theme="1"/>
      <name val="Calibri"/>
      <family val="2"/>
      <scheme val="minor"/>
    </font>
    <font>
      <sz val="8"/>
      <name val="Calibri"/>
      <family val="2"/>
      <scheme val="minor"/>
    </font>
    <font>
      <sz val="10"/>
      <color rgb="FF000000"/>
      <name val="Calibri"/>
      <scheme val="minor"/>
    </font>
    <font>
      <strike/>
      <sz val="10"/>
      <color theme="1"/>
      <name val="Calibri"/>
      <family val="2"/>
      <scheme val="minor"/>
    </font>
    <font>
      <u/>
      <sz val="11"/>
      <color theme="10"/>
      <name val="Calibri"/>
      <family val="2"/>
      <scheme val="minor"/>
    </font>
    <font>
      <b/>
      <sz val="14"/>
      <color theme="1"/>
      <name val="Calibri"/>
      <family val="2"/>
      <scheme val="minor"/>
    </font>
    <font>
      <i/>
      <sz val="11"/>
      <color theme="1"/>
      <name val="Calibri"/>
      <family val="2"/>
      <scheme val="minor"/>
    </font>
    <font>
      <b/>
      <sz val="11"/>
      <color rgb="FFFFFFFF"/>
      <name val="Calibri"/>
      <family val="2"/>
      <scheme val="minor"/>
    </font>
    <font>
      <b/>
      <sz val="20"/>
      <color theme="1"/>
      <name val="Calibri"/>
      <family val="2"/>
      <scheme val="minor"/>
    </font>
    <font>
      <b/>
      <sz val="10"/>
      <color theme="1"/>
      <name val="Arial"/>
      <family val="2"/>
    </font>
    <font>
      <i/>
      <sz val="10"/>
      <color theme="1"/>
      <name val="Arial"/>
      <family val="2"/>
    </font>
    <font>
      <b/>
      <i/>
      <sz val="10"/>
      <color theme="1"/>
      <name val="Arial"/>
      <family val="2"/>
    </font>
    <font>
      <sz val="10"/>
      <color theme="1"/>
      <name val="Arial"/>
      <family val="2"/>
    </font>
    <font>
      <u/>
      <sz val="10"/>
      <color theme="1"/>
      <name val="Arial"/>
      <family val="2"/>
    </font>
    <font>
      <sz val="10"/>
      <color theme="0" tint="-0.34998626667073579"/>
      <name val="Calibri"/>
      <family val="2"/>
      <scheme val="minor"/>
    </font>
    <font>
      <sz val="11"/>
      <color theme="0" tint="-0.34998626667073579"/>
      <name val="Calibri"/>
      <family val="2"/>
      <scheme val="minor"/>
    </font>
    <font>
      <sz val="11"/>
      <color rgb="FF242424"/>
      <name val="Aptos Narrow"/>
      <charset val="1"/>
    </font>
    <font>
      <b/>
      <sz val="14"/>
      <color rgb="FFFFFFFF"/>
      <name val="Calibri"/>
      <family val="2"/>
      <scheme val="minor"/>
    </font>
    <font>
      <sz val="11"/>
      <color rgb="FFFF0000"/>
      <name val="Calibri"/>
      <family val="2"/>
      <scheme val="minor"/>
    </font>
    <font>
      <sz val="11"/>
      <name val="Calibri"/>
      <family val="2"/>
      <scheme val="minor"/>
    </font>
    <font>
      <u/>
      <sz val="11"/>
      <name val="Calibri"/>
      <family val="2"/>
      <scheme val="minor"/>
    </font>
    <font>
      <b/>
      <sz val="11"/>
      <name val="Calibri"/>
      <family val="2"/>
      <scheme val="minor"/>
    </font>
    <font>
      <b/>
      <sz val="11"/>
      <color rgb="FF000000"/>
      <name val="Calibri"/>
      <scheme val="minor"/>
    </font>
    <font>
      <sz val="11"/>
      <color rgb="FF000000"/>
      <name val="Calibri"/>
      <scheme val="minor"/>
    </font>
    <font>
      <b/>
      <sz val="11"/>
      <color theme="0"/>
      <name val="Calibri"/>
      <family val="2"/>
      <scheme val="minor"/>
    </font>
    <font>
      <i/>
      <sz val="11"/>
      <name val="Calibri"/>
      <family val="2"/>
      <scheme val="minor"/>
    </font>
  </fonts>
  <fills count="16">
    <fill>
      <patternFill patternType="none"/>
    </fill>
    <fill>
      <patternFill patternType="gray125"/>
    </fill>
    <fill>
      <patternFill patternType="solid">
        <fgColor rgb="FFE2EFDA"/>
        <bgColor indexed="64"/>
      </patternFill>
    </fill>
    <fill>
      <patternFill patternType="solid">
        <fgColor theme="0"/>
        <bgColor indexed="64"/>
      </patternFill>
    </fill>
    <fill>
      <patternFill patternType="solid">
        <fgColor rgb="FF4472C4"/>
        <bgColor indexed="64"/>
      </patternFill>
    </fill>
    <fill>
      <patternFill patternType="solid">
        <fgColor rgb="FF1F4E79"/>
        <bgColor indexed="64"/>
      </patternFill>
    </fill>
    <fill>
      <patternFill patternType="solid">
        <fgColor rgb="FF2E75B6"/>
        <bgColor indexed="64"/>
      </patternFill>
    </fill>
    <fill>
      <patternFill patternType="solid">
        <fgColor rgb="FFD6DCE5"/>
        <bgColor indexed="64"/>
      </patternFill>
    </fill>
    <fill>
      <patternFill patternType="solid">
        <fgColor rgb="FF70AD47"/>
        <bgColor indexed="64"/>
      </patternFill>
    </fill>
    <fill>
      <patternFill patternType="solid">
        <fgColor rgb="FFC6EFCE"/>
        <bgColor indexed="64"/>
      </patternFill>
    </fill>
    <fill>
      <patternFill patternType="solid">
        <fgColor rgb="FFC00000"/>
        <bgColor indexed="64"/>
      </patternFill>
    </fill>
    <fill>
      <patternFill patternType="solid">
        <fgColor rgb="FFF8CBAD"/>
        <bgColor indexed="64"/>
      </patternFill>
    </fill>
    <fill>
      <patternFill patternType="solid">
        <fgColor rgb="FF92D050"/>
        <bgColor indexed="64"/>
      </patternFill>
    </fill>
    <fill>
      <patternFill patternType="solid">
        <fgColor theme="9" tint="-0.249977111117893"/>
        <bgColor indexed="64"/>
      </patternFill>
    </fill>
    <fill>
      <patternFill patternType="solid">
        <fgColor theme="4"/>
        <bgColor indexed="64"/>
      </patternFill>
    </fill>
    <fill>
      <patternFill patternType="solid">
        <fgColor rgb="FFFF0000"/>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8" fillId="0" borderId="0" applyNumberFormat="0" applyFill="0" applyBorder="0" applyAlignment="0" applyProtection="0"/>
  </cellStyleXfs>
  <cellXfs count="137">
    <xf numFmtId="0" fontId="0" fillId="0" borderId="0" xfId="0"/>
    <xf numFmtId="0" fontId="0" fillId="0" borderId="0" xfId="0" applyAlignment="1">
      <alignment horizontal="center" vertical="center"/>
    </xf>
    <xf numFmtId="0" fontId="1" fillId="0" borderId="4" xfId="0" applyFont="1" applyBorder="1" applyAlignment="1">
      <alignment horizontal="center" vertical="center"/>
    </xf>
    <xf numFmtId="0" fontId="4" fillId="0" borderId="9" xfId="0" applyFont="1" applyBorder="1" applyAlignment="1">
      <alignment horizontal="left" vertical="top"/>
    </xf>
    <xf numFmtId="0" fontId="4" fillId="0" borderId="10" xfId="0" applyFont="1" applyBorder="1" applyAlignment="1">
      <alignment horizontal="left" vertical="top"/>
    </xf>
    <xf numFmtId="0" fontId="4" fillId="0" borderId="11" xfId="0" applyFont="1" applyBorder="1" applyAlignment="1">
      <alignment horizontal="left" vertical="top"/>
    </xf>
    <xf numFmtId="0" fontId="4" fillId="0" borderId="12" xfId="0" applyFont="1" applyBorder="1" applyAlignment="1">
      <alignment horizontal="left" vertical="top"/>
    </xf>
    <xf numFmtId="0" fontId="4" fillId="0" borderId="13" xfId="0" applyFont="1" applyBorder="1" applyAlignment="1">
      <alignment horizontal="left" vertical="top"/>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0" xfId="0" applyAlignment="1">
      <alignment vertical="top"/>
    </xf>
    <xf numFmtId="0" fontId="0" fillId="0" borderId="0" xfId="0" applyAlignment="1">
      <alignment wrapText="1"/>
    </xf>
    <xf numFmtId="0" fontId="4" fillId="0" borderId="12" xfId="0" applyFont="1" applyBorder="1" applyAlignment="1">
      <alignment horizontal="center" vertical="center"/>
    </xf>
    <xf numFmtId="0" fontId="0" fillId="0" borderId="10" xfId="0" applyBorder="1" applyAlignment="1">
      <alignment horizontal="center" vertical="center"/>
    </xf>
    <xf numFmtId="0" fontId="1" fillId="0" borderId="0" xfId="0" applyFont="1" applyAlignment="1">
      <alignment horizontal="center" vertical="center" wrapText="1"/>
    </xf>
    <xf numFmtId="0" fontId="1" fillId="0" borderId="10" xfId="0" applyFont="1" applyBorder="1" applyAlignment="1">
      <alignment horizontal="center" vertical="center" wrapText="1"/>
    </xf>
    <xf numFmtId="0" fontId="0" fillId="0" borderId="0" xfId="0" applyAlignment="1">
      <alignment horizontal="center" vertical="center" wrapText="1"/>
    </xf>
    <xf numFmtId="0" fontId="0" fillId="0" borderId="13" xfId="0" applyBorder="1" applyAlignment="1">
      <alignment horizontal="center" vertical="center" wrapText="1"/>
    </xf>
    <xf numFmtId="0" fontId="1" fillId="0" borderId="3" xfId="0" applyFont="1" applyBorder="1" applyAlignment="1">
      <alignment horizontal="center" wrapText="1"/>
    </xf>
    <xf numFmtId="0" fontId="0" fillId="0" borderId="14" xfId="0" applyBorder="1" applyAlignment="1">
      <alignment horizontal="center" vertical="center"/>
    </xf>
    <xf numFmtId="0" fontId="4" fillId="0" borderId="15" xfId="0" applyFont="1" applyBorder="1" applyAlignment="1">
      <alignment horizontal="left" vertical="top"/>
    </xf>
    <xf numFmtId="0" fontId="0" fillId="0" borderId="5" xfId="0" applyBorder="1" applyAlignment="1">
      <alignment horizontal="center" vertical="center"/>
    </xf>
    <xf numFmtId="0" fontId="1" fillId="0" borderId="11" xfId="0" applyFont="1" applyBorder="1" applyAlignment="1">
      <alignment horizontal="center" vertical="center"/>
    </xf>
    <xf numFmtId="0" fontId="4" fillId="0" borderId="10" xfId="0" applyFont="1" applyBorder="1" applyAlignment="1">
      <alignment horizontal="left" vertical="top" wrapText="1"/>
    </xf>
    <xf numFmtId="0" fontId="1" fillId="0" borderId="0" xfId="0" applyFont="1"/>
    <xf numFmtId="0" fontId="1" fillId="0" borderId="0" xfId="0" applyFont="1" applyAlignment="1">
      <alignment horizontal="center" vertical="center"/>
    </xf>
    <xf numFmtId="0" fontId="0" fillId="0" borderId="13" xfId="0" applyBorder="1" applyAlignment="1">
      <alignment horizontal="center" vertical="center"/>
    </xf>
    <xf numFmtId="0" fontId="0" fillId="0" borderId="10" xfId="0" applyBorder="1" applyAlignment="1">
      <alignment horizontal="left" vertical="center"/>
    </xf>
    <xf numFmtId="0" fontId="4" fillId="0" borderId="13" xfId="0" applyFont="1" applyBorder="1" applyAlignment="1">
      <alignment horizontal="left" vertical="top" wrapText="1"/>
    </xf>
    <xf numFmtId="0" fontId="0" fillId="0" borderId="12" xfId="0" applyBorder="1" applyAlignment="1">
      <alignment horizontal="center" vertical="center" wrapText="1"/>
    </xf>
    <xf numFmtId="0" fontId="6" fillId="0" borderId="13" xfId="0" applyFont="1" applyBorder="1" applyAlignment="1">
      <alignment horizontal="left" vertical="top" wrapText="1"/>
    </xf>
    <xf numFmtId="0" fontId="7" fillId="0" borderId="13" xfId="0" applyFont="1" applyBorder="1" applyAlignment="1">
      <alignment horizontal="left" vertical="top" wrapText="1"/>
    </xf>
    <xf numFmtId="0" fontId="8" fillId="3" borderId="13" xfId="1" applyFill="1" applyBorder="1" applyAlignment="1">
      <alignment horizontal="center" vertical="center" wrapText="1"/>
    </xf>
    <xf numFmtId="0" fontId="4" fillId="0" borderId="16" xfId="0" applyFont="1" applyBorder="1" applyAlignment="1">
      <alignment horizontal="left" vertical="top" wrapText="1"/>
    </xf>
    <xf numFmtId="0" fontId="0" fillId="0" borderId="15" xfId="0" applyBorder="1" applyAlignment="1">
      <alignment horizontal="center" vertical="center"/>
    </xf>
    <xf numFmtId="0" fontId="11" fillId="4" borderId="0" xfId="0" applyFont="1" applyFill="1" applyAlignment="1">
      <alignment horizontal="center"/>
    </xf>
    <xf numFmtId="0" fontId="9" fillId="2" borderId="9" xfId="0" applyFont="1" applyFill="1" applyBorder="1" applyAlignment="1">
      <alignment horizontal="center" vertical="center"/>
    </xf>
    <xf numFmtId="0" fontId="4" fillId="0" borderId="11" xfId="0" applyFont="1" applyBorder="1" applyAlignment="1">
      <alignment horizontal="left" vertical="top" wrapText="1"/>
    </xf>
    <xf numFmtId="0" fontId="0" fillId="0" borderId="11" xfId="0" applyBorder="1" applyAlignment="1">
      <alignment horizontal="left" vertical="top" wrapText="1"/>
    </xf>
    <xf numFmtId="0" fontId="8" fillId="0" borderId="11" xfId="1" applyFill="1" applyBorder="1" applyAlignment="1">
      <alignment horizontal="left" vertical="top" wrapText="1"/>
    </xf>
    <xf numFmtId="0" fontId="12"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13" fillId="0" borderId="9" xfId="0" applyFont="1" applyBorder="1" applyAlignment="1">
      <alignment horizontal="left" vertical="top"/>
    </xf>
    <xf numFmtId="0" fontId="13" fillId="0" borderId="9" xfId="0" applyFont="1" applyBorder="1" applyAlignment="1">
      <alignment horizontal="left" vertical="top" wrapText="1"/>
    </xf>
    <xf numFmtId="0" fontId="13" fillId="0" borderId="0" xfId="0" applyFont="1" applyAlignment="1">
      <alignment horizontal="left" vertical="top" wrapText="1"/>
    </xf>
    <xf numFmtId="0" fontId="1" fillId="0" borderId="0" xfId="0" applyFont="1" applyAlignment="1">
      <alignment horizontal="left" vertical="top"/>
    </xf>
    <xf numFmtId="0" fontId="15" fillId="0" borderId="9" xfId="0" applyFont="1" applyBorder="1" applyAlignment="1">
      <alignment horizontal="left" vertical="top"/>
    </xf>
    <xf numFmtId="0" fontId="16" fillId="0" borderId="9" xfId="0" applyFont="1" applyBorder="1" applyAlignment="1">
      <alignment horizontal="left" vertical="top"/>
    </xf>
    <xf numFmtId="0" fontId="16" fillId="0" borderId="9" xfId="0" applyFont="1" applyBorder="1" applyAlignment="1">
      <alignment horizontal="left" vertical="top" wrapText="1"/>
    </xf>
    <xf numFmtId="0" fontId="16" fillId="0" borderId="0" xfId="0" applyFont="1" applyAlignment="1">
      <alignment horizontal="left" vertical="top"/>
    </xf>
    <xf numFmtId="0" fontId="15" fillId="0" borderId="9" xfId="0" applyFont="1" applyBorder="1" applyAlignment="1">
      <alignment horizontal="left" vertical="top" wrapText="1"/>
    </xf>
    <xf numFmtId="0" fontId="17" fillId="0" borderId="9" xfId="1" applyFont="1" applyBorder="1" applyAlignment="1">
      <alignment horizontal="left" vertical="top"/>
    </xf>
    <xf numFmtId="0" fontId="13" fillId="0" borderId="9" xfId="0" applyFont="1" applyBorder="1"/>
    <xf numFmtId="0" fontId="16" fillId="0" borderId="9" xfId="0" applyFont="1" applyBorder="1" applyAlignment="1">
      <alignment horizontal="right" vertical="center" wrapText="1"/>
    </xf>
    <xf numFmtId="0" fontId="16" fillId="0" borderId="9" xfId="0" applyFont="1" applyBorder="1"/>
    <xf numFmtId="0" fontId="16" fillId="0" borderId="9" xfId="0" applyFont="1" applyBorder="1" applyAlignment="1">
      <alignment horizontal="left"/>
    </xf>
    <xf numFmtId="0" fontId="16" fillId="0" borderId="0" xfId="0" applyFont="1"/>
    <xf numFmtId="0" fontId="4" fillId="0" borderId="9" xfId="0" applyFont="1" applyBorder="1"/>
    <xf numFmtId="0" fontId="4" fillId="0" borderId="9" xfId="0" applyFont="1" applyBorder="1" applyAlignment="1">
      <alignment horizontal="left"/>
    </xf>
    <xf numFmtId="0" fontId="4" fillId="0" borderId="9" xfId="0" applyFont="1" applyBorder="1" applyAlignment="1">
      <alignment horizontal="left" vertical="top" wrapText="1"/>
    </xf>
    <xf numFmtId="0" fontId="4" fillId="0" borderId="0" xfId="0" applyFont="1"/>
    <xf numFmtId="0" fontId="4" fillId="0" borderId="0" xfId="0" applyFont="1" applyAlignment="1">
      <alignment horizontal="left"/>
    </xf>
    <xf numFmtId="0" fontId="4" fillId="0" borderId="0" xfId="0" applyFont="1" applyAlignment="1">
      <alignment horizontal="left" vertical="top" wrapText="1"/>
    </xf>
    <xf numFmtId="0" fontId="0" fillId="0" borderId="0" xfId="0" applyAlignment="1">
      <alignment horizontal="left"/>
    </xf>
    <xf numFmtId="0" fontId="18" fillId="0" borderId="11" xfId="0" applyFont="1" applyBorder="1" applyAlignment="1">
      <alignment horizontal="left" vertical="top" wrapText="1"/>
    </xf>
    <xf numFmtId="0" fontId="19" fillId="0" borderId="11" xfId="0" applyFont="1" applyBorder="1" applyAlignment="1">
      <alignment horizontal="left" vertical="top" wrapText="1"/>
    </xf>
    <xf numFmtId="0" fontId="0" fillId="0" borderId="0" xfId="0" applyAlignment="1">
      <alignment vertical="top" wrapText="1"/>
    </xf>
    <xf numFmtId="0" fontId="1" fillId="0" borderId="0" xfId="0" applyFont="1" applyAlignment="1">
      <alignment vertical="top" wrapText="1"/>
    </xf>
    <xf numFmtId="0" fontId="8" fillId="0" borderId="13" xfId="1" applyBorder="1" applyAlignment="1">
      <alignment horizontal="left" vertical="top" wrapText="1"/>
    </xf>
    <xf numFmtId="0" fontId="0" fillId="0" borderId="7" xfId="0" applyBorder="1" applyAlignment="1">
      <alignment vertical="top" wrapText="1"/>
    </xf>
    <xf numFmtId="0" fontId="0" fillId="0" borderId="8" xfId="0" applyBorder="1" applyAlignment="1">
      <alignment vertical="top" wrapText="1"/>
    </xf>
    <xf numFmtId="0" fontId="20" fillId="0" borderId="0" xfId="0" applyFont="1" applyAlignment="1">
      <alignment wrapText="1"/>
    </xf>
    <xf numFmtId="0" fontId="4" fillId="0" borderId="13" xfId="1" applyFont="1" applyBorder="1" applyAlignment="1">
      <alignment horizontal="left" vertical="top" wrapText="1"/>
    </xf>
    <xf numFmtId="0" fontId="0" fillId="0" borderId="10" xfId="0" applyBorder="1" applyAlignment="1">
      <alignment horizontal="left" vertical="center" wrapText="1"/>
    </xf>
    <xf numFmtId="0" fontId="1" fillId="7" borderId="0" xfId="0" applyFont="1" applyFill="1"/>
    <xf numFmtId="0" fontId="1" fillId="9" borderId="0" xfId="0" applyFont="1" applyFill="1"/>
    <xf numFmtId="0" fontId="1" fillId="11" borderId="0" xfId="0" applyFont="1" applyFill="1"/>
    <xf numFmtId="0" fontId="23" fillId="0" borderId="16" xfId="0" applyFont="1" applyBorder="1" applyAlignment="1">
      <alignment horizontal="left" vertical="top" wrapText="1"/>
    </xf>
    <xf numFmtId="0" fontId="23" fillId="0" borderId="13" xfId="0" applyFont="1" applyBorder="1" applyAlignment="1">
      <alignment horizontal="left" vertical="top" wrapText="1"/>
    </xf>
    <xf numFmtId="0" fontId="23" fillId="0" borderId="13" xfId="0" quotePrefix="1" applyFont="1" applyBorder="1" applyAlignment="1">
      <alignment horizontal="left" vertical="top" wrapText="1"/>
    </xf>
    <xf numFmtId="0" fontId="23" fillId="0" borderId="16" xfId="0" quotePrefix="1" applyFont="1" applyBorder="1" applyAlignment="1">
      <alignment horizontal="left" vertical="top" wrapText="1"/>
    </xf>
    <xf numFmtId="0" fontId="24" fillId="0" borderId="16" xfId="1" quotePrefix="1" applyFont="1" applyFill="1" applyBorder="1" applyAlignment="1">
      <alignment horizontal="left" vertical="top" wrapText="1"/>
    </xf>
    <xf numFmtId="0" fontId="0" fillId="0" borderId="5" xfId="0"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12" borderId="0" xfId="0" applyFont="1" applyFill="1" applyAlignment="1">
      <alignment horizontal="center" vertical="center" wrapText="1"/>
    </xf>
    <xf numFmtId="0" fontId="1" fillId="13" borderId="0" xfId="0" applyFont="1" applyFill="1" applyAlignment="1">
      <alignment horizontal="center" vertical="center" wrapText="1"/>
    </xf>
    <xf numFmtId="0" fontId="0" fillId="0" borderId="21" xfId="0" applyBorder="1" applyAlignment="1">
      <alignment vertical="top" wrapText="1"/>
    </xf>
    <xf numFmtId="0" fontId="0" fillId="0" borderId="22"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1" fillId="0" borderId="2" xfId="0" applyFont="1"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3" xfId="0" applyBorder="1"/>
    <xf numFmtId="0" fontId="28" fillId="14" borderId="24" xfId="0" applyFont="1" applyFill="1" applyBorder="1" applyAlignment="1">
      <alignment horizontal="center" vertical="center"/>
    </xf>
    <xf numFmtId="0" fontId="0" fillId="0" borderId="23" xfId="0" applyBorder="1" applyAlignment="1">
      <alignment horizontal="center" vertical="center"/>
    </xf>
    <xf numFmtId="0" fontId="4" fillId="0" borderId="26" xfId="0" applyFont="1" applyBorder="1" applyAlignment="1">
      <alignment horizontal="left" vertical="top"/>
    </xf>
    <xf numFmtId="0" fontId="4" fillId="0" borderId="27" xfId="0" applyFont="1" applyBorder="1" applyAlignment="1">
      <alignment horizontal="left" vertical="top"/>
    </xf>
    <xf numFmtId="0" fontId="4" fillId="0" borderId="28" xfId="0" applyFont="1" applyBorder="1" applyAlignment="1">
      <alignment horizontal="left" vertical="top"/>
    </xf>
    <xf numFmtId="0" fontId="0" fillId="15" borderId="5" xfId="0" applyFill="1" applyBorder="1" applyAlignment="1">
      <alignment horizontal="center" vertical="center" wrapText="1"/>
    </xf>
    <xf numFmtId="0" fontId="13" fillId="0" borderId="10" xfId="0" applyFont="1" applyBorder="1" applyAlignment="1">
      <alignment horizontal="left" vertical="top"/>
    </xf>
    <xf numFmtId="0" fontId="14" fillId="0" borderId="10" xfId="0" applyFont="1" applyBorder="1" applyAlignment="1">
      <alignment horizontal="left" vertical="top"/>
    </xf>
    <xf numFmtId="0" fontId="14" fillId="0" borderId="10" xfId="0" applyFont="1" applyBorder="1"/>
    <xf numFmtId="0" fontId="0" fillId="0" borderId="23" xfId="0" applyBorder="1" applyAlignment="1">
      <alignment horizontal="left" vertical="top" wrapText="1"/>
    </xf>
    <xf numFmtId="0" fontId="0" fillId="0" borderId="24" xfId="0" applyBorder="1" applyAlignment="1">
      <alignment horizontal="left" vertical="top"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27" fillId="0" borderId="6" xfId="0" applyFont="1" applyBorder="1" applyAlignment="1">
      <alignment horizontal="left" vertical="top" wrapText="1"/>
    </xf>
    <xf numFmtId="0" fontId="27" fillId="0" borderId="7" xfId="0" applyFont="1" applyBorder="1" applyAlignment="1">
      <alignment horizontal="left" vertical="top" wrapText="1"/>
    </xf>
    <xf numFmtId="0" fontId="27" fillId="0" borderId="8" xfId="0" applyFont="1" applyBorder="1" applyAlignment="1">
      <alignment horizontal="left" vertical="top" wrapText="1"/>
    </xf>
    <xf numFmtId="0" fontId="0" fillId="0" borderId="6" xfId="0" applyBorder="1" applyAlignment="1">
      <alignment horizontal="left" wrapText="1"/>
    </xf>
    <xf numFmtId="0" fontId="0" fillId="0" borderId="7" xfId="0" applyBorder="1" applyAlignment="1">
      <alignment horizontal="left"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4" xfId="0" applyBorder="1" applyAlignment="1">
      <alignment vertical="top" wrapText="1"/>
    </xf>
    <xf numFmtId="0" fontId="0" fillId="0" borderId="0" xfId="0"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21" fillId="5" borderId="0" xfId="0" applyFont="1" applyFill="1" applyAlignment="1"/>
    <xf numFmtId="0" fontId="10" fillId="0" borderId="0" xfId="0" applyFont="1" applyAlignment="1"/>
    <xf numFmtId="0" fontId="11" fillId="6" borderId="0" xfId="0" applyFont="1" applyFill="1" applyAlignment="1"/>
    <xf numFmtId="0" fontId="11" fillId="8" borderId="0" xfId="0" applyFont="1" applyFill="1" applyAlignment="1"/>
    <xf numFmtId="0" fontId="11" fillId="10" borderId="0" xfId="0" applyFont="1" applyFill="1" applyAlignment="1"/>
  </cellXfs>
  <cellStyles count="2">
    <cellStyle name="Link" xfId="1" builtinId="8"/>
    <cellStyle name="Standard" xfId="0" builtinId="0"/>
  </cellStyles>
  <dxfs count="39">
    <dxf>
      <alignment horizontal="center" vertical="center" wrapText="1"/>
    </dxf>
    <dxf>
      <alignment horizontal="lef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strike val="0"/>
        <condense val="0"/>
        <extend val="0"/>
        <outline val="0"/>
        <shadow val="0"/>
        <u val="none"/>
        <vertAlign val="baseline"/>
        <sz val="10"/>
        <color theme="1"/>
        <name val="Arial"/>
        <family val="2"/>
        <scheme val="none"/>
      </font>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color rgb="FF595959"/>
      </font>
      <fill>
        <patternFill patternType="solid">
          <fgColor indexed="64"/>
          <bgColor rgb="FFF2F2F2"/>
        </patternFill>
      </fill>
    </dxf>
    <dxf>
      <font>
        <b/>
        <i val="0"/>
        <color rgb="FF375623"/>
      </font>
      <fill>
        <patternFill patternType="solid">
          <fgColor indexed="64"/>
          <bgColor rgb="FFE2F0D9"/>
        </patternFill>
      </fill>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right style="medium">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0" formatCode="Genera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7F1C84-E787-4AC2-9FB1-4937DDF1F03D}" name="URS_Tabelle" displayName="URS_Tabelle" ref="B8:Z70" totalsRowShown="0" headerRowDxfId="38" tableBorderDxfId="37">
  <autoFilter ref="B8:Z70" xr:uid="{9A44C059-2BB4-4411-B52C-1A1647933512}"/>
  <sortState xmlns:xlrd2="http://schemas.microsoft.com/office/spreadsheetml/2017/richdata2" ref="B9:Z70">
    <sortCondition ref="B8:B70"/>
  </sortState>
  <tableColumns count="25">
    <tableColumn id="1" xr3:uid="{D05433B0-61B2-494F-A0D6-C2839096A72C}" name="URS-ID" dataDxfId="36"/>
    <tableColumn id="2" xr3:uid="{F63FE4ED-6D4E-4A11-8FB0-59C6CEE753F5}" name="Category" dataDxfId="35"/>
    <tableColumn id="21" xr3:uid="{DB762734-C0B0-4A35-83A0-D88078B632B1}" name="User Requirement" dataDxfId="34"/>
    <tableColumn id="23" xr3:uid="{7CABDEAB-CD64-4A1F-88FB-5D42D98D61C8}" name="Kommentare (Paolo)" dataDxfId="33"/>
    <tableColumn id="25" xr3:uid="{F34208C9-AA7E-4D86-9EAA-27FD0C12802F}" name="Kommentare ( Stefan )" dataDxfId="32"/>
    <tableColumn id="24" xr3:uid="{A18D730C-1EDB-43DE-8ECD-7B126546391C}" name="Kommentare (    )2" dataDxfId="31"/>
    <tableColumn id="22" xr3:uid="{B5585C8A-77CF-4FD8-8316-EDBE10541402}" name="Kommentare (   GBS CRBR )" dataDxfId="30"/>
    <tableColumn id="3" xr3:uid="{33E4F722-57FC-478B-885B-D8A33DB61A34}" name="Helpful Links" dataDxfId="29"/>
    <tableColumn id="4" xr3:uid="{3C8941EC-C6D5-4E9D-9A05-ABCCB3D31B52}" name="Assessment: mandatory oder nice-to have" dataDxfId="28"/>
    <tableColumn id="5" xr3:uid="{F31D2835-63D2-4099-ADE1-8E52214D13F6}" name="description of features and design" dataDxfId="27"/>
    <tableColumn id="6" xr3:uid="{DBBEBA91-BC5C-478F-8007-AA1F2C501731}" name="REQ fulfilled_x000a_ (ja, nein, teilweise)" dataDxfId="26"/>
    <tableColumn id="7" xr3:uid="{F496BE5B-A1F2-4485-A9BB-A1C13D8F478B}" name="RA-ID" dataDxfId="25"/>
    <tableColumn id="8" xr3:uid="{92DEA4B7-9199-412F-9B28-8E1F8EFF0334}" name="Denkbares Risiko" dataDxfId="24"/>
    <tableColumn id="9" xr3:uid="{CA4F7C10-7022-47FF-BD69-FB976B69AC9D}" name="Auswirkung" dataDxfId="23"/>
    <tableColumn id="10" xr3:uid="{4B2C8FF0-D3EA-44B5-BC7B-14382A8AB66F}" name="Ursache" dataDxfId="22"/>
    <tableColumn id="11" xr3:uid="{82B44F31-2BB5-40C6-8380-8E092A44B79C}" name="Mitigation" dataDxfId="21"/>
    <tableColumn id="12" xr3:uid="{C75AF244-1E04-402B-BD94-046BE985A6F0}" name="D" dataDxfId="20"/>
    <tableColumn id="13" xr3:uid="{009649CF-3E8D-4FAC-AC46-0671BC3D27B8}" name="O" dataDxfId="19"/>
    <tableColumn id="14" xr3:uid="{7F0D8BE9-1DD1-4557-973E-8A47776387C8}" name="S" dataDxfId="18"/>
    <tableColumn id="15" xr3:uid="{984B5CFE-03FD-486F-8853-4716627D5BEA}" name="Risikozahl" dataDxfId="17"/>
    <tableColumn id="16" xr3:uid="{DA1D3BAF-6CBE-4EC6-BD8D-F0D21F910472}" name="Maßnahme (RZ &gt; 9)" dataDxfId="16"/>
    <tableColumn id="17" xr3:uid="{48CC072B-ADB6-4DE7-8539-DAB695A44A67}" name=" punch-list-item" dataDxfId="15"/>
    <tableColumn id="18" xr3:uid="{30F99C2B-42DF-4BDB-B072-584FBAE0152A}" name="test-reference" dataDxfId="14"/>
    <tableColumn id="19" xr3:uid="{B8E9E4CE-003D-44D6-A416-3A7CABD739FF}" name="test phase" dataDxfId="13"/>
    <tableColumn id="20" xr3:uid="{83409738-26A9-42B0-927F-6CBE608ECF98}" name="Succesful"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76B88E-7661-4CB5-BC9D-C9955D4383EF}" name="Tabelle2" displayName="Tabelle2" ref="A2:I97" totalsRowShown="0" tableBorderDxfId="9">
  <autoFilter ref="A2:I97" xr:uid="{E876B88E-7661-4CB5-BC9D-C9955D4383EF}">
    <filterColumn colId="8">
      <filters>
        <filter val="Yes"/>
      </filters>
    </filterColumn>
  </autoFilter>
  <tableColumns count="9">
    <tableColumn id="1" xr3:uid="{D91C843D-00A2-4414-B514-9C476C4E3411}" name="Section (IQMS)" dataDxfId="8"/>
    <tableColumn id="2" xr3:uid="{1C414E32-D76F-4AE0-BEF8-BC1C746EAD19}" name="field" dataDxfId="7"/>
    <tableColumn id="3" xr3:uid="{07999CD9-B831-4374-94E3-1B45DD841FE7}" name="Entry (what)" dataDxfId="6"/>
    <tableColumn id="4" xr3:uid="{E0BF2F39-BFFF-4F03-88D3-E07C1EA27A05}" name="Data input _x000a_(Selection or manual enty)" dataDxfId="5"/>
    <tableColumn id="5" xr3:uid="{59E6A7A9-3B66-462D-BD82-B80BA96E803E}" name="Comment" dataDxfId="4"/>
    <tableColumn id="6" xr3:uid="{BF10572E-73FA-4DAD-945A-ACF608837A8F}" name="origin of data" dataDxfId="3"/>
    <tableColumn id="7" xr3:uid="{54CEABE5-CC0F-48C9-87D5-96F3D0041A6C}" name="Information given by Requester (R) or Internal (I)" dataDxfId="2"/>
    <tableColumn id="8" xr3:uid="{98CA1375-3316-4888-9BB1-B3030B8C613F}" name="links" dataDxfId="1"/>
    <tableColumn id="9" xr3:uid="{F2A66544-3E0B-40FC-9F1F-2E4988E2D538}" name="Expected extraction from email/attachm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RA/SitePages/Inside-GREAT-2.0--The-Next-Step-Toward-Scalable-AI-Translations-in-BRAVE.aspx?TeamsCID=572ace43-a6ac-4d49-945a-bb5a46c018b7&amp;OR=Teams-HL&amp;CT=1783386451720&amp;xsdata=MDV8MDJ8fDFjOTRhNzVlNzZhNzQxMGJkYjVmMDhkZWRjMDIwOTc1fGZjYjJiMzdiNWRhMDQ2NmI5YjgzMDAxNGI2N2E3Yzc4fDB8MHw2MzkxOTAwOTg0Mzk5NzMzMjh8VW5rbm93bnxWR1ZoYlhOVFpXTjFjbWwwZVZObGNuWnBZMlY4ZXlKRFFTSTZJbFJsWVcxelgwRlVVRk5sY25acFkyVmZVMUJQVEU5R0lpd2lWaUk2SWpBdU1DNHdNREF3SWl3aVVDSTZJbGRwYmpNeUlpd2lRVTRpT2lKUGRHaGxjaUlzSWxkVUlqb3hNWDA9fDF8TDNSbFlXMXpMekU1T2pjd1oxa3dNVmgwVHpjMFVWWkdSVVY1Tld4SFZtSTBOMlozT1MxdWRsRm5ObXgxVjNGZlFsSktabGt4UUhSb2NtVmhaQzUwWVdOMk1pOWphR0Z1Ym1Wc2N5OHhPVHBoTkdJd09ERXhPVGd5TnpRMFlqZzRZVGRtWW1NMVpUa3pNamt6WlRReFpVQjBhSEpsWVdRdWRHRmpkakl2YldWemMyRm5aWE12TVRjNE16UXhNekEwTWpBMU1nPT18YjczMTA3YzNhOGJiNDFkYTc2ZTcwOGRlZGMwMjA5NzV8Y2FjNTlkNGRmYWExNDhjN2I2NzhkNWM2NDVmOTU2YjI%3D&amp;sdata=aFFzSFV0N0FmeHZ1UUJ6SEFvUHZrK2ZoN2RtRjJzZnJXSjFBSzJuUzUzQT0%3D&amp;ovuser=fcb2b37b-5da0-466b-9b83-0014b67a7c78%2Ceva.westendorf%40bayer.com&amp;clickparams=eyJBcHBOYW1lIjoiVGVhbXMtRGVza3RvcCIsIkFwcFZlcnNpb24iOiI0OS8yNjA4MDIwMDYyMCJ9" TargetMode="External"/><Relationship Id="rId2" Type="http://schemas.openxmlformats.org/officeDocument/2006/relationships/hyperlink" Target="PTC%20Contacts.url" TargetMode="External"/><Relationship Id="rId1" Type="http://schemas.openxmlformats.org/officeDocument/2006/relationships/hyperlink" Target="PTC%20Contacts.url"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mailto:Dev@com-numb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5F755-6DE7-4845-AB90-12BE8CD69737}">
  <dimension ref="A1:AB70"/>
  <sheetViews>
    <sheetView topLeftCell="A56" zoomScaleNormal="100" workbookViewId="0">
      <selection activeCell="D11" sqref="D11"/>
    </sheetView>
  </sheetViews>
  <sheetFormatPr defaultColWidth="11.42578125" defaultRowHeight="14.45" outlineLevelRow="1"/>
  <cols>
    <col min="1" max="1" width="45.42578125" customWidth="1"/>
    <col min="3" max="3" width="26.42578125" bestFit="1" customWidth="1"/>
    <col min="4" max="4" width="43.140625" style="12" customWidth="1"/>
    <col min="5" max="5" width="32" style="1" customWidth="1"/>
    <col min="6" max="6" width="73.28515625" style="1" customWidth="1"/>
    <col min="7" max="8" width="39.28515625" customWidth="1"/>
    <col min="9" max="9" width="22" customWidth="1"/>
    <col min="10" max="10" width="21.7109375" customWidth="1"/>
    <col min="11" max="11" width="34.7109375" customWidth="1"/>
    <col min="12" max="12" width="17.28515625" customWidth="1"/>
    <col min="13" max="13" width="12.7109375" customWidth="1"/>
    <col min="16" max="16" width="6.85546875" customWidth="1"/>
    <col min="17" max="17" width="6.28515625" customWidth="1"/>
    <col min="18" max="18" width="6.42578125" customWidth="1"/>
    <col min="20" max="20" width="27.42578125" customWidth="1"/>
    <col min="21" max="21" width="16" customWidth="1"/>
    <col min="22" max="22" width="15.5703125" customWidth="1"/>
    <col min="28" max="28" width="22.85546875" customWidth="1"/>
  </cols>
  <sheetData>
    <row r="1" spans="1:28" ht="120" customHeight="1" outlineLevel="1" thickBot="1">
      <c r="A1" s="119" t="s">
        <v>0</v>
      </c>
      <c r="B1" s="120"/>
      <c r="C1" s="120"/>
      <c r="D1" s="120"/>
      <c r="E1" s="121"/>
      <c r="F1" s="91" t="s">
        <v>1</v>
      </c>
      <c r="G1" s="92"/>
      <c r="H1" s="68"/>
      <c r="I1" s="68"/>
      <c r="J1" s="11"/>
      <c r="K1" s="11"/>
      <c r="L1" s="11"/>
    </row>
    <row r="2" spans="1:28" ht="118.5" customHeight="1" outlineLevel="1" thickBot="1">
      <c r="A2" s="122" t="s">
        <v>2</v>
      </c>
      <c r="B2" s="123"/>
      <c r="C2" s="123"/>
      <c r="D2" s="123"/>
      <c r="E2" s="71"/>
      <c r="F2" s="71"/>
      <c r="G2" s="72"/>
      <c r="H2" s="68"/>
      <c r="I2" s="68"/>
      <c r="J2" s="11"/>
      <c r="K2" s="11"/>
      <c r="L2" s="11"/>
    </row>
    <row r="3" spans="1:28" ht="15" customHeight="1" outlineLevel="1">
      <c r="A3" s="130" t="s">
        <v>3</v>
      </c>
      <c r="B3" s="131"/>
      <c r="C3" s="131"/>
      <c r="D3" s="131"/>
      <c r="E3" s="93"/>
      <c r="F3" s="85"/>
      <c r="G3" s="86"/>
      <c r="H3" s="69"/>
      <c r="I3" s="69"/>
      <c r="J3" s="11"/>
      <c r="K3" s="11"/>
      <c r="L3" s="11"/>
    </row>
    <row r="4" spans="1:28" ht="15" customHeight="1" outlineLevel="1">
      <c r="A4" s="124" t="s">
        <v>4</v>
      </c>
      <c r="B4" s="125"/>
      <c r="C4" s="125"/>
      <c r="D4" s="125"/>
      <c r="E4" s="125"/>
      <c r="F4" s="68"/>
      <c r="G4" s="84"/>
      <c r="H4" s="68"/>
      <c r="I4" s="68"/>
      <c r="J4" s="11"/>
      <c r="K4" s="11"/>
      <c r="L4" s="11"/>
    </row>
    <row r="5" spans="1:28" outlineLevel="1">
      <c r="A5" s="126" t="s">
        <v>5</v>
      </c>
      <c r="B5" s="127"/>
      <c r="C5" s="127"/>
      <c r="D5" s="127"/>
      <c r="E5" s="127"/>
      <c r="F5" s="68"/>
      <c r="G5" s="84"/>
      <c r="H5" s="68"/>
      <c r="I5" s="68"/>
      <c r="J5" s="11"/>
      <c r="K5" s="11"/>
      <c r="L5" s="11"/>
    </row>
    <row r="6" spans="1:28" ht="15.75" customHeight="1" outlineLevel="1" thickBot="1">
      <c r="A6" s="128" t="s">
        <v>6</v>
      </c>
      <c r="B6" s="129"/>
      <c r="C6" s="129"/>
      <c r="D6" s="129"/>
      <c r="E6" s="129"/>
      <c r="F6" s="89"/>
      <c r="G6" s="90"/>
      <c r="H6" s="68"/>
      <c r="I6" s="68"/>
      <c r="J6" s="11"/>
      <c r="K6" s="11"/>
      <c r="L6" s="11"/>
    </row>
    <row r="7" spans="1:28" ht="29.45" outlineLevel="1" thickBot="1">
      <c r="A7" s="97"/>
      <c r="B7" s="118" t="s">
        <v>7</v>
      </c>
      <c r="C7" s="118"/>
      <c r="D7" s="118"/>
      <c r="E7" s="118"/>
      <c r="F7" s="118"/>
      <c r="G7" s="118"/>
      <c r="H7" s="110"/>
      <c r="I7" s="110"/>
      <c r="J7" s="111"/>
      <c r="K7" s="109" t="s">
        <v>8</v>
      </c>
      <c r="L7" s="111"/>
      <c r="M7" s="109" t="s">
        <v>9</v>
      </c>
      <c r="N7" s="110"/>
      <c r="O7" s="110"/>
      <c r="P7" s="110"/>
      <c r="Q7" s="111"/>
      <c r="R7" s="112" t="s">
        <v>10</v>
      </c>
      <c r="S7" s="113"/>
      <c r="T7" s="113"/>
      <c r="U7" s="114"/>
      <c r="V7" s="19" t="s">
        <v>11</v>
      </c>
      <c r="W7" s="115" t="s">
        <v>12</v>
      </c>
      <c r="X7" s="116"/>
      <c r="Y7" s="116"/>
      <c r="Z7" s="117"/>
      <c r="AB7" s="36" t="s">
        <v>13</v>
      </c>
    </row>
    <row r="8" spans="1:28" s="1" customFormat="1" ht="25.5" thickBot="1">
      <c r="A8" s="98" t="s">
        <v>14</v>
      </c>
      <c r="B8" s="26" t="s">
        <v>15</v>
      </c>
      <c r="C8" s="26" t="s">
        <v>16</v>
      </c>
      <c r="D8" s="15" t="s">
        <v>17</v>
      </c>
      <c r="E8" s="87" t="s">
        <v>18</v>
      </c>
      <c r="F8" s="87" t="s">
        <v>19</v>
      </c>
      <c r="G8" s="87" t="s">
        <v>20</v>
      </c>
      <c r="H8" s="87" t="s">
        <v>21</v>
      </c>
      <c r="I8" s="88" t="s">
        <v>22</v>
      </c>
      <c r="J8" s="103" t="s">
        <v>23</v>
      </c>
      <c r="K8" s="15" t="s">
        <v>24</v>
      </c>
      <c r="L8" s="17" t="s">
        <v>25</v>
      </c>
      <c r="M8" s="2" t="s">
        <v>26</v>
      </c>
      <c r="N8" s="1" t="s">
        <v>27</v>
      </c>
      <c r="O8" s="1" t="s">
        <v>28</v>
      </c>
      <c r="P8" s="1" t="s">
        <v>29</v>
      </c>
      <c r="Q8" s="1" t="s">
        <v>30</v>
      </c>
      <c r="R8" s="1" t="s">
        <v>31</v>
      </c>
      <c r="S8" s="1" t="s">
        <v>32</v>
      </c>
      <c r="T8" s="1" t="s">
        <v>33</v>
      </c>
      <c r="U8" s="22" t="s">
        <v>34</v>
      </c>
      <c r="V8" s="20" t="s">
        <v>35</v>
      </c>
      <c r="W8" s="9" t="s">
        <v>36</v>
      </c>
      <c r="X8" s="8" t="s">
        <v>37</v>
      </c>
      <c r="Y8" s="8" t="s">
        <v>38</v>
      </c>
      <c r="Z8" s="27" t="s">
        <v>39</v>
      </c>
      <c r="AB8" s="37" t="str" cm="1">
        <f t="array" ref="AB8">"REQ-"&amp;TEXT(MAX(--IFERROR(SUBSTITUTE(URS_Tabelle[URS-ID],"REQ-",""),0))+1,"00")</f>
        <v>REQ-64</v>
      </c>
    </row>
    <row r="9" spans="1:28" s="1" customFormat="1" ht="200.25" customHeight="1">
      <c r="A9" s="107" t="s">
        <v>40</v>
      </c>
      <c r="B9" s="28" t="s">
        <v>41</v>
      </c>
      <c r="C9" s="28" t="s">
        <v>42</v>
      </c>
      <c r="D9" s="29" t="s">
        <v>43</v>
      </c>
      <c r="E9" s="39"/>
      <c r="F9" s="79" t="s">
        <v>44</v>
      </c>
      <c r="G9" s="29"/>
      <c r="H9" s="29"/>
      <c r="I9" s="29"/>
      <c r="J9" s="30">
        <v>3</v>
      </c>
      <c r="K9" s="16"/>
      <c r="L9" s="18"/>
      <c r="M9" s="23"/>
      <c r="N9" s="8"/>
      <c r="O9" s="8"/>
      <c r="P9" s="8"/>
      <c r="Q9" s="8"/>
      <c r="R9" s="8"/>
      <c r="S9" s="8"/>
      <c r="T9" s="8"/>
      <c r="U9" s="10"/>
      <c r="V9" s="14"/>
      <c r="W9" s="14"/>
      <c r="X9" s="8"/>
      <c r="Y9" s="8"/>
      <c r="Z9" s="27"/>
    </row>
    <row r="10" spans="1:28" s="1" customFormat="1" ht="115.5" customHeight="1">
      <c r="A10" s="108"/>
      <c r="B10" s="28" t="s">
        <v>45</v>
      </c>
      <c r="C10" s="28" t="s">
        <v>42</v>
      </c>
      <c r="D10" s="29" t="s">
        <v>46</v>
      </c>
      <c r="E10" s="39"/>
      <c r="F10" s="79" t="s">
        <v>47</v>
      </c>
      <c r="G10" s="34"/>
      <c r="H10" s="34"/>
      <c r="I10" s="34"/>
      <c r="J10" s="30">
        <v>3</v>
      </c>
      <c r="K10" s="16"/>
      <c r="L10" s="18"/>
      <c r="M10" s="23"/>
      <c r="N10" s="8"/>
      <c r="O10" s="8"/>
      <c r="P10" s="8"/>
      <c r="Q10" s="8"/>
      <c r="R10" s="8"/>
      <c r="S10" s="8"/>
      <c r="T10" s="8"/>
      <c r="U10" s="10"/>
      <c r="V10" s="14"/>
      <c r="W10" s="14"/>
      <c r="X10" s="8"/>
      <c r="Y10" s="8"/>
      <c r="Z10" s="27"/>
    </row>
    <row r="11" spans="1:28" s="1" customFormat="1" ht="174">
      <c r="A11" s="95"/>
      <c r="B11" s="28" t="s">
        <v>48</v>
      </c>
      <c r="C11" s="28" t="s">
        <v>42</v>
      </c>
      <c r="D11" s="29" t="s">
        <v>49</v>
      </c>
      <c r="E11" s="67" t="s">
        <v>50</v>
      </c>
      <c r="F11" s="79" t="s">
        <v>51</v>
      </c>
      <c r="G11" s="29"/>
      <c r="H11" s="29"/>
      <c r="I11" s="70" t="s">
        <v>52</v>
      </c>
      <c r="J11" s="30"/>
      <c r="K11" s="16"/>
      <c r="L11" s="18"/>
      <c r="M11" s="23"/>
      <c r="N11" s="8"/>
      <c r="O11" s="8"/>
      <c r="P11" s="8"/>
      <c r="Q11" s="8"/>
      <c r="R11" s="8"/>
      <c r="S11" s="8"/>
      <c r="T11" s="8"/>
      <c r="U11" s="10"/>
      <c r="V11" s="14"/>
      <c r="W11" s="14"/>
      <c r="X11" s="8"/>
      <c r="Y11" s="8"/>
      <c r="Z11" s="27"/>
    </row>
    <row r="12" spans="1:28" s="1" customFormat="1" ht="104.25" customHeight="1">
      <c r="A12" s="95"/>
      <c r="B12" s="28" t="s">
        <v>53</v>
      </c>
      <c r="C12" s="28" t="s">
        <v>42</v>
      </c>
      <c r="D12" s="29" t="s">
        <v>54</v>
      </c>
      <c r="E12" s="29"/>
      <c r="F12" s="80" t="s">
        <v>55</v>
      </c>
      <c r="G12" s="29" t="s">
        <v>56</v>
      </c>
      <c r="H12" s="29"/>
      <c r="I12" s="74"/>
      <c r="J12" s="13"/>
      <c r="K12" s="24"/>
      <c r="L12" s="7"/>
      <c r="M12" s="5"/>
      <c r="N12" s="3"/>
      <c r="O12" s="3"/>
      <c r="P12" s="3"/>
      <c r="Q12" s="3"/>
      <c r="R12" s="3"/>
      <c r="S12" s="3"/>
      <c r="T12" s="3"/>
      <c r="U12" s="6"/>
      <c r="V12" s="21"/>
      <c r="W12" s="5"/>
      <c r="X12" s="3"/>
      <c r="Y12" s="3"/>
      <c r="Z12" s="7"/>
    </row>
    <row r="13" spans="1:28" s="1" customFormat="1" ht="87">
      <c r="A13" s="95"/>
      <c r="B13" s="28" t="s">
        <v>57</v>
      </c>
      <c r="C13" s="28" t="s">
        <v>42</v>
      </c>
      <c r="D13" s="29" t="s">
        <v>58</v>
      </c>
      <c r="E13" s="67" t="s">
        <v>59</v>
      </c>
      <c r="F13" s="79" t="s">
        <v>60</v>
      </c>
      <c r="G13" s="29"/>
      <c r="H13" s="29"/>
      <c r="I13" s="29"/>
      <c r="J13" s="30"/>
      <c r="K13" s="16"/>
      <c r="L13" s="18"/>
      <c r="M13" s="23"/>
      <c r="N13" s="8"/>
      <c r="O13" s="8"/>
      <c r="P13" s="8"/>
      <c r="Q13" s="8"/>
      <c r="R13" s="8"/>
      <c r="S13" s="8"/>
      <c r="T13" s="8"/>
      <c r="U13" s="10"/>
      <c r="V13" s="14"/>
      <c r="W13" s="14"/>
      <c r="X13" s="8"/>
      <c r="Y13" s="8"/>
      <c r="Z13" s="27"/>
    </row>
    <row r="14" spans="1:28" s="1" customFormat="1" ht="81" customHeight="1">
      <c r="A14" s="95"/>
      <c r="B14" s="28" t="s">
        <v>61</v>
      </c>
      <c r="C14" s="28" t="s">
        <v>42</v>
      </c>
      <c r="D14" s="29" t="s">
        <v>62</v>
      </c>
      <c r="E14" s="67" t="s">
        <v>63</v>
      </c>
      <c r="F14" s="79" t="s">
        <v>64</v>
      </c>
      <c r="G14" s="29"/>
      <c r="H14" s="29"/>
      <c r="I14" s="29"/>
      <c r="J14" s="30"/>
      <c r="K14" s="16"/>
      <c r="L14" s="18"/>
      <c r="M14" s="23"/>
      <c r="N14" s="8"/>
      <c r="O14" s="8"/>
      <c r="P14" s="8"/>
      <c r="Q14" s="8"/>
      <c r="R14" s="8"/>
      <c r="S14" s="8"/>
      <c r="T14" s="8"/>
      <c r="U14" s="10"/>
      <c r="V14" s="14"/>
      <c r="W14" s="14"/>
      <c r="X14" s="8"/>
      <c r="Y14" s="8"/>
      <c r="Z14" s="27"/>
    </row>
    <row r="15" spans="1:28" s="1" customFormat="1" ht="69.75" customHeight="1" thickBot="1">
      <c r="A15" s="96"/>
      <c r="B15" s="28" t="s">
        <v>65</v>
      </c>
      <c r="C15" s="28" t="s">
        <v>42</v>
      </c>
      <c r="D15" s="29" t="s">
        <v>66</v>
      </c>
      <c r="E15" s="29"/>
      <c r="F15" s="80"/>
      <c r="G15" s="29"/>
      <c r="H15" s="73" t="s">
        <v>67</v>
      </c>
      <c r="I15" s="29"/>
      <c r="J15" s="13"/>
      <c r="K15" s="24"/>
      <c r="L15" s="7"/>
      <c r="M15" s="5"/>
      <c r="N15" s="3"/>
      <c r="O15" s="3"/>
      <c r="P15" s="3"/>
      <c r="Q15" s="3"/>
      <c r="R15" s="3"/>
      <c r="S15" s="3"/>
      <c r="T15" s="3"/>
      <c r="U15" s="6"/>
      <c r="V15" s="21"/>
      <c r="W15" s="5"/>
      <c r="X15" s="3"/>
      <c r="Y15" s="3"/>
      <c r="Z15" s="7"/>
    </row>
    <row r="16" spans="1:28" s="1" customFormat="1" ht="108.75" customHeight="1" thickBot="1">
      <c r="A16" s="94" t="s">
        <v>68</v>
      </c>
      <c r="B16" s="28" t="s">
        <v>69</v>
      </c>
      <c r="C16" s="75" t="s">
        <v>70</v>
      </c>
      <c r="D16" s="29" t="s">
        <v>71</v>
      </c>
      <c r="E16" s="29"/>
      <c r="F16" s="81" t="s">
        <v>72</v>
      </c>
      <c r="G16" s="29" t="s">
        <v>73</v>
      </c>
      <c r="H16" s="73" t="s">
        <v>67</v>
      </c>
      <c r="I16" s="29"/>
      <c r="J16" s="13"/>
      <c r="K16" s="24"/>
      <c r="L16" s="7"/>
      <c r="M16" s="5"/>
      <c r="N16" s="3"/>
      <c r="O16" s="3"/>
      <c r="P16" s="3"/>
      <c r="Q16" s="3"/>
      <c r="R16" s="3"/>
      <c r="S16" s="3"/>
      <c r="T16" s="3"/>
      <c r="U16" s="6"/>
      <c r="V16" s="21"/>
      <c r="W16" s="5"/>
      <c r="X16" s="3"/>
      <c r="Y16" s="3"/>
      <c r="Z16" s="7"/>
    </row>
    <row r="17" spans="1:27" s="1" customFormat="1" ht="76.5" customHeight="1">
      <c r="A17" s="99"/>
      <c r="B17" s="28" t="s">
        <v>74</v>
      </c>
      <c r="C17" s="28" t="s">
        <v>42</v>
      </c>
      <c r="D17" s="29" t="s">
        <v>75</v>
      </c>
      <c r="E17" s="39"/>
      <c r="F17" s="82" t="s">
        <v>76</v>
      </c>
      <c r="G17" s="29"/>
      <c r="H17" s="29"/>
      <c r="I17" s="29"/>
      <c r="J17" s="30"/>
      <c r="K17" s="16"/>
      <c r="L17" s="18"/>
      <c r="M17" s="23"/>
      <c r="N17" s="8"/>
      <c r="O17" s="8"/>
      <c r="P17" s="8"/>
      <c r="Q17" s="8"/>
      <c r="R17" s="8"/>
      <c r="S17" s="8"/>
      <c r="T17" s="8"/>
      <c r="U17" s="10"/>
      <c r="V17" s="14"/>
      <c r="W17" s="14"/>
      <c r="X17" s="8"/>
      <c r="Y17" s="8"/>
      <c r="Z17" s="27"/>
    </row>
    <row r="18" spans="1:27" s="1" customFormat="1" ht="65.45" thickBot="1">
      <c r="A18" s="96"/>
      <c r="B18" s="28" t="s">
        <v>77</v>
      </c>
      <c r="C18" s="28" t="s">
        <v>42</v>
      </c>
      <c r="D18" s="29" t="s">
        <v>78</v>
      </c>
      <c r="E18" s="40"/>
      <c r="F18" s="83" t="s">
        <v>76</v>
      </c>
      <c r="G18" s="33"/>
      <c r="H18" s="33"/>
      <c r="I18" s="70" t="s">
        <v>52</v>
      </c>
      <c r="J18" s="30"/>
      <c r="K18" s="16"/>
      <c r="L18" s="18"/>
      <c r="M18" s="23"/>
      <c r="N18" s="8"/>
      <c r="O18" s="8"/>
      <c r="P18" s="8"/>
      <c r="Q18" s="8"/>
      <c r="R18" s="8"/>
      <c r="S18" s="8"/>
      <c r="T18" s="8"/>
      <c r="U18" s="10"/>
      <c r="V18" s="14"/>
      <c r="W18" s="14"/>
      <c r="X18" s="8"/>
      <c r="Y18" s="8"/>
      <c r="Z18" s="27"/>
    </row>
    <row r="19" spans="1:27" s="1" customFormat="1" ht="249" customHeight="1">
      <c r="A19" s="94" t="s">
        <v>79</v>
      </c>
      <c r="B19" s="28" t="s">
        <v>80</v>
      </c>
      <c r="C19" s="4" t="s">
        <v>81</v>
      </c>
      <c r="D19" s="29" t="s">
        <v>82</v>
      </c>
      <c r="E19" s="38"/>
      <c r="F19" s="79" t="s">
        <v>83</v>
      </c>
      <c r="G19" s="70" t="s">
        <v>84</v>
      </c>
      <c r="H19" s="29"/>
      <c r="I19" s="29"/>
      <c r="J19" s="13"/>
      <c r="K19" s="24"/>
      <c r="L19" s="7"/>
      <c r="M19" s="5"/>
      <c r="N19" s="3"/>
      <c r="O19" s="3"/>
      <c r="P19" s="3"/>
      <c r="Q19" s="3"/>
      <c r="R19" s="3"/>
      <c r="S19" s="3"/>
      <c r="T19" s="3"/>
      <c r="U19" s="6"/>
      <c r="V19" s="4"/>
      <c r="W19" s="4"/>
      <c r="X19" s="3"/>
      <c r="Y19" s="3"/>
      <c r="Z19" s="7"/>
    </row>
    <row r="20" spans="1:27" s="1" customFormat="1" ht="242.25" customHeight="1">
      <c r="A20" s="95"/>
      <c r="B20" s="28" t="s">
        <v>85</v>
      </c>
      <c r="C20" s="4" t="s">
        <v>81</v>
      </c>
      <c r="D20" s="29" t="s">
        <v>86</v>
      </c>
      <c r="E20" s="38"/>
      <c r="F20" s="79" t="s">
        <v>87</v>
      </c>
      <c r="G20" s="29"/>
      <c r="H20" s="29"/>
      <c r="I20" s="29"/>
      <c r="J20" s="13"/>
      <c r="K20" s="24"/>
      <c r="L20" s="7"/>
      <c r="M20" s="5"/>
      <c r="N20" s="3"/>
      <c r="O20" s="3"/>
      <c r="P20" s="3"/>
      <c r="Q20" s="3"/>
      <c r="R20" s="3"/>
      <c r="S20" s="3"/>
      <c r="T20" s="3"/>
      <c r="U20" s="6"/>
      <c r="V20" s="4"/>
      <c r="W20" s="4"/>
      <c r="X20" s="3"/>
      <c r="Y20" s="3"/>
      <c r="Z20" s="7"/>
    </row>
    <row r="21" spans="1:27" s="1" customFormat="1" ht="409.5" customHeight="1">
      <c r="A21" s="95"/>
      <c r="B21" s="28" t="s">
        <v>88</v>
      </c>
      <c r="C21" s="4" t="s">
        <v>81</v>
      </c>
      <c r="D21" s="29" t="s">
        <v>89</v>
      </c>
      <c r="E21" s="38"/>
      <c r="F21" s="82" t="s">
        <v>90</v>
      </c>
      <c r="G21" s="29"/>
      <c r="H21" s="29" t="s">
        <v>91</v>
      </c>
      <c r="I21" s="29"/>
      <c r="J21" s="13"/>
      <c r="K21" s="24" t="s">
        <v>92</v>
      </c>
      <c r="L21" s="7"/>
      <c r="M21" s="5"/>
      <c r="N21" s="3"/>
      <c r="O21" s="3"/>
      <c r="P21" s="3"/>
      <c r="Q21" s="3"/>
      <c r="R21" s="3"/>
      <c r="S21" s="3"/>
      <c r="T21" s="3"/>
      <c r="U21" s="6"/>
      <c r="V21" s="4"/>
      <c r="W21" s="4"/>
      <c r="X21" s="3"/>
      <c r="Y21" s="3"/>
      <c r="Z21" s="7"/>
    </row>
    <row r="22" spans="1:27" s="1" customFormat="1" ht="66.75" customHeight="1">
      <c r="A22" s="95"/>
      <c r="B22" s="28" t="s">
        <v>93</v>
      </c>
      <c r="C22" s="4" t="s">
        <v>81</v>
      </c>
      <c r="D22" s="29" t="s">
        <v>94</v>
      </c>
      <c r="E22" s="38"/>
      <c r="F22" s="82" t="s">
        <v>76</v>
      </c>
      <c r="G22" s="29"/>
      <c r="H22" s="29"/>
      <c r="I22" s="29"/>
      <c r="J22" s="13"/>
      <c r="K22" s="24"/>
      <c r="L22" s="7"/>
      <c r="M22" s="5"/>
      <c r="N22" s="3"/>
      <c r="O22" s="3"/>
      <c r="P22" s="3"/>
      <c r="Q22" s="3"/>
      <c r="R22" s="3"/>
      <c r="S22" s="3"/>
      <c r="T22" s="3"/>
      <c r="U22" s="6"/>
      <c r="V22" s="4"/>
      <c r="W22" s="4"/>
      <c r="X22" s="3"/>
      <c r="Y22" s="3"/>
      <c r="Z22" s="7"/>
    </row>
    <row r="23" spans="1:27" s="1" customFormat="1" ht="62.25" customHeight="1">
      <c r="A23" s="95"/>
      <c r="B23" s="28" t="s">
        <v>95</v>
      </c>
      <c r="C23" s="4" t="s">
        <v>81</v>
      </c>
      <c r="D23" s="29" t="s">
        <v>96</v>
      </c>
      <c r="E23" s="38"/>
      <c r="F23" s="82" t="s">
        <v>76</v>
      </c>
      <c r="G23" s="29"/>
      <c r="H23" s="29"/>
      <c r="I23" s="29"/>
      <c r="J23" s="13"/>
      <c r="K23" s="24"/>
      <c r="L23" s="7"/>
      <c r="M23" s="5"/>
      <c r="N23" s="3"/>
      <c r="O23" s="3"/>
      <c r="P23" s="3"/>
      <c r="Q23" s="3"/>
      <c r="R23" s="3"/>
      <c r="S23" s="3"/>
      <c r="T23" s="3"/>
      <c r="U23" s="6"/>
      <c r="V23" s="4"/>
      <c r="W23" s="4"/>
      <c r="X23" s="3"/>
      <c r="Y23" s="3"/>
      <c r="Z23" s="7"/>
    </row>
    <row r="24" spans="1:27" s="1" customFormat="1" ht="83.25" customHeight="1">
      <c r="A24" s="95"/>
      <c r="B24" s="28" t="s">
        <v>97</v>
      </c>
      <c r="C24" s="4" t="s">
        <v>81</v>
      </c>
      <c r="D24" s="29" t="s">
        <v>98</v>
      </c>
      <c r="E24" s="38"/>
      <c r="F24" s="82" t="s">
        <v>76</v>
      </c>
      <c r="G24" s="29"/>
      <c r="H24" s="29"/>
      <c r="I24" s="29"/>
      <c r="J24" s="13"/>
      <c r="K24" s="24"/>
      <c r="L24" s="7"/>
      <c r="M24" s="5"/>
      <c r="N24" s="3"/>
      <c r="O24" s="3"/>
      <c r="P24" s="3"/>
      <c r="Q24" s="3"/>
      <c r="R24" s="3"/>
      <c r="S24" s="3"/>
      <c r="T24" s="3"/>
      <c r="U24" s="6"/>
      <c r="V24" s="4"/>
      <c r="W24" s="4"/>
      <c r="X24" s="3"/>
      <c r="Y24" s="3"/>
      <c r="Z24" s="7"/>
    </row>
    <row r="25" spans="1:27" s="3" customFormat="1" ht="51.95">
      <c r="A25" s="101"/>
      <c r="B25" s="28" t="s">
        <v>99</v>
      </c>
      <c r="C25" s="4" t="s">
        <v>81</v>
      </c>
      <c r="D25" s="31" t="s">
        <v>100</v>
      </c>
      <c r="E25" s="38"/>
      <c r="F25" s="82" t="s">
        <v>76</v>
      </c>
      <c r="G25" s="31"/>
      <c r="H25" s="31"/>
      <c r="I25" s="31"/>
      <c r="J25" s="13" t="s">
        <v>101</v>
      </c>
      <c r="K25" s="24"/>
      <c r="L25" s="7"/>
      <c r="M25" s="5"/>
      <c r="U25" s="6"/>
      <c r="V25" s="4"/>
      <c r="W25" s="4"/>
      <c r="Z25" s="7"/>
      <c r="AA25" s="4"/>
    </row>
    <row r="26" spans="1:27" s="3" customFormat="1" ht="76.900000000000006" customHeight="1" thickBot="1">
      <c r="A26" s="102"/>
      <c r="B26" s="28" t="s">
        <v>102</v>
      </c>
      <c r="C26" s="4" t="s">
        <v>81</v>
      </c>
      <c r="D26" s="29" t="s">
        <v>103</v>
      </c>
      <c r="E26" s="38"/>
      <c r="F26" s="79" t="s">
        <v>104</v>
      </c>
      <c r="G26" s="29"/>
      <c r="H26" s="29"/>
      <c r="I26" s="29"/>
      <c r="J26" s="13"/>
      <c r="K26" s="24"/>
      <c r="L26" s="7"/>
      <c r="M26" s="5"/>
      <c r="U26" s="6"/>
      <c r="V26" s="21"/>
      <c r="W26" s="5"/>
      <c r="Z26" s="7"/>
      <c r="AA26" s="4"/>
    </row>
    <row r="27" spans="1:27" s="3" customFormat="1" ht="381" customHeight="1">
      <c r="A27" s="100"/>
      <c r="B27" s="28" t="s">
        <v>105</v>
      </c>
      <c r="C27" s="4" t="s">
        <v>70</v>
      </c>
      <c r="D27" s="29" t="s">
        <v>106</v>
      </c>
      <c r="E27" s="38"/>
      <c r="F27" s="79" t="s">
        <v>107</v>
      </c>
      <c r="G27" s="29"/>
      <c r="H27" s="29"/>
      <c r="I27" s="29"/>
      <c r="J27" s="13"/>
      <c r="K27" s="24"/>
      <c r="L27" s="7"/>
      <c r="M27" s="5"/>
      <c r="U27" s="6"/>
      <c r="V27" s="21"/>
      <c r="W27" s="5"/>
      <c r="Z27" s="7"/>
      <c r="AA27" s="4"/>
    </row>
    <row r="28" spans="1:27" s="3" customFormat="1" ht="134.25" customHeight="1">
      <c r="A28" s="4"/>
      <c r="B28" s="28" t="s">
        <v>108</v>
      </c>
      <c r="C28" s="4" t="s">
        <v>70</v>
      </c>
      <c r="D28" s="29" t="s">
        <v>109</v>
      </c>
      <c r="E28" s="66" t="s">
        <v>110</v>
      </c>
      <c r="F28" s="79" t="s">
        <v>111</v>
      </c>
      <c r="G28" s="29"/>
      <c r="H28" s="29"/>
      <c r="I28" s="29"/>
      <c r="J28" s="13"/>
      <c r="K28" s="24"/>
      <c r="L28" s="7"/>
      <c r="M28" s="5"/>
      <c r="U28" s="6"/>
      <c r="V28" s="21"/>
      <c r="W28" s="5"/>
      <c r="Z28" s="7"/>
      <c r="AA28" s="4"/>
    </row>
    <row r="29" spans="1:27" s="3" customFormat="1" ht="56.25" customHeight="1">
      <c r="A29" s="4"/>
      <c r="B29" s="28" t="s">
        <v>112</v>
      </c>
      <c r="C29" s="4" t="s">
        <v>70</v>
      </c>
      <c r="D29" s="29" t="s">
        <v>113</v>
      </c>
      <c r="E29" s="38"/>
      <c r="F29" s="82" t="s">
        <v>76</v>
      </c>
      <c r="G29" s="29"/>
      <c r="H29" s="29"/>
      <c r="I29" s="29"/>
      <c r="J29" s="13"/>
      <c r="K29" s="24"/>
      <c r="L29" s="7"/>
      <c r="M29" s="5"/>
      <c r="U29" s="6"/>
      <c r="V29" s="21"/>
      <c r="W29" s="5"/>
      <c r="Z29" s="7"/>
      <c r="AA29" s="4"/>
    </row>
    <row r="30" spans="1:27" s="3" customFormat="1" ht="86.25" customHeight="1">
      <c r="A30" s="4"/>
      <c r="B30" s="28" t="s">
        <v>114</v>
      </c>
      <c r="C30" s="28" t="s">
        <v>70</v>
      </c>
      <c r="D30" s="29" t="s">
        <v>115</v>
      </c>
      <c r="E30" s="39"/>
      <c r="F30" s="82" t="s">
        <v>116</v>
      </c>
      <c r="G30" s="29"/>
      <c r="H30" s="29"/>
      <c r="I30" s="29"/>
      <c r="J30" s="30"/>
      <c r="K30" s="16"/>
      <c r="L30" s="18"/>
      <c r="M30" s="23"/>
      <c r="N30" s="8"/>
      <c r="O30" s="8"/>
      <c r="P30" s="8"/>
      <c r="Q30" s="8"/>
      <c r="R30" s="8"/>
      <c r="S30" s="8"/>
      <c r="T30" s="8"/>
      <c r="U30" s="10"/>
      <c r="V30" s="35"/>
      <c r="W30" s="9"/>
      <c r="X30" s="8"/>
      <c r="Y30" s="8"/>
      <c r="Z30" s="27"/>
      <c r="AA30" s="4"/>
    </row>
    <row r="31" spans="1:27" s="3" customFormat="1" ht="68.25" customHeight="1">
      <c r="A31" s="4"/>
      <c r="B31" s="28" t="s">
        <v>117</v>
      </c>
      <c r="C31" s="28" t="s">
        <v>70</v>
      </c>
      <c r="D31" s="29" t="s">
        <v>118</v>
      </c>
      <c r="E31" s="39" t="s">
        <v>119</v>
      </c>
      <c r="F31" s="82" t="s">
        <v>116</v>
      </c>
      <c r="G31" s="29" t="s">
        <v>120</v>
      </c>
      <c r="H31" s="29"/>
      <c r="I31" s="29"/>
      <c r="J31" s="30"/>
      <c r="K31" s="16"/>
      <c r="L31" s="18"/>
      <c r="M31" s="23"/>
      <c r="N31" s="8"/>
      <c r="O31" s="8"/>
      <c r="P31" s="8"/>
      <c r="Q31" s="8"/>
      <c r="R31" s="8"/>
      <c r="S31" s="8"/>
      <c r="T31" s="8"/>
      <c r="U31" s="10"/>
      <c r="V31" s="35"/>
      <c r="W31" s="9"/>
      <c r="X31" s="8"/>
      <c r="Y31" s="8"/>
      <c r="Z31" s="27"/>
      <c r="AA31" s="4"/>
    </row>
    <row r="32" spans="1:27" s="3" customFormat="1" ht="210" customHeight="1">
      <c r="A32" s="4"/>
      <c r="B32" s="28" t="s">
        <v>121</v>
      </c>
      <c r="C32" s="28" t="s">
        <v>70</v>
      </c>
      <c r="D32" s="29" t="s">
        <v>122</v>
      </c>
      <c r="E32" s="29"/>
      <c r="F32" s="80" t="s">
        <v>123</v>
      </c>
      <c r="G32" s="29"/>
      <c r="H32" s="29"/>
      <c r="I32" s="29"/>
      <c r="J32" s="13"/>
      <c r="K32" s="24"/>
      <c r="L32" s="7"/>
      <c r="M32" s="5"/>
      <c r="U32" s="6"/>
      <c r="V32" s="21"/>
      <c r="W32" s="5"/>
      <c r="Z32" s="7"/>
      <c r="AA32" s="4"/>
    </row>
    <row r="33" spans="1:27" s="3" customFormat="1" ht="57.95">
      <c r="A33" s="4"/>
      <c r="B33" s="28" t="s">
        <v>124</v>
      </c>
      <c r="C33" s="4" t="s">
        <v>70</v>
      </c>
      <c r="D33" s="29" t="s">
        <v>125</v>
      </c>
      <c r="E33" s="38" t="s">
        <v>126</v>
      </c>
      <c r="F33" s="79" t="s">
        <v>127</v>
      </c>
      <c r="G33" s="29"/>
      <c r="H33" s="29"/>
      <c r="I33" s="29"/>
      <c r="J33" s="13"/>
      <c r="K33" s="24"/>
      <c r="L33" s="7"/>
      <c r="M33" s="5"/>
      <c r="U33" s="6"/>
      <c r="V33" s="21"/>
      <c r="W33" s="5"/>
      <c r="Z33" s="7"/>
      <c r="AA33" s="4"/>
    </row>
    <row r="34" spans="1:27" s="3" customFormat="1" ht="72" customHeight="1">
      <c r="A34" s="4"/>
      <c r="B34" s="28" t="s">
        <v>128</v>
      </c>
      <c r="C34" s="4" t="s">
        <v>70</v>
      </c>
      <c r="D34" s="29" t="s">
        <v>129</v>
      </c>
      <c r="E34" s="38" t="s">
        <v>130</v>
      </c>
      <c r="F34" s="79" t="s">
        <v>131</v>
      </c>
      <c r="G34" s="29" t="s">
        <v>132</v>
      </c>
      <c r="H34" s="29"/>
      <c r="I34" s="29"/>
      <c r="J34" s="13"/>
      <c r="K34" s="24"/>
      <c r="L34" s="7"/>
      <c r="M34" s="5"/>
      <c r="U34" s="6"/>
      <c r="V34" s="21"/>
      <c r="W34" s="5"/>
      <c r="Z34" s="7"/>
      <c r="AA34" s="4"/>
    </row>
    <row r="35" spans="1:27" s="3" customFormat="1" ht="174.75" customHeight="1">
      <c r="A35" s="4"/>
      <c r="B35" s="28" t="s">
        <v>133</v>
      </c>
      <c r="C35" s="4" t="s">
        <v>70</v>
      </c>
      <c r="D35" s="29" t="s">
        <v>134</v>
      </c>
      <c r="E35" s="38" t="s">
        <v>135</v>
      </c>
      <c r="F35" s="79" t="s">
        <v>136</v>
      </c>
      <c r="G35" s="29" t="s">
        <v>120</v>
      </c>
      <c r="H35" s="29"/>
      <c r="I35" s="29"/>
      <c r="J35" s="13"/>
      <c r="K35" s="24"/>
      <c r="L35" s="7"/>
      <c r="M35" s="5"/>
      <c r="U35" s="6"/>
      <c r="V35" s="21"/>
      <c r="W35" s="5"/>
      <c r="Z35" s="7"/>
      <c r="AA35" s="4"/>
    </row>
    <row r="36" spans="1:27" s="3" customFormat="1" ht="260.25" customHeight="1">
      <c r="A36" s="4"/>
      <c r="B36" s="28" t="s">
        <v>137</v>
      </c>
      <c r="C36" s="28" t="s">
        <v>70</v>
      </c>
      <c r="D36" s="29" t="s">
        <v>138</v>
      </c>
      <c r="E36" s="39"/>
      <c r="F36" s="79" t="s">
        <v>139</v>
      </c>
      <c r="G36" s="29"/>
      <c r="H36" s="29"/>
      <c r="I36" s="29"/>
      <c r="J36" s="30"/>
      <c r="K36" s="16"/>
      <c r="L36" s="18"/>
      <c r="M36" s="23"/>
      <c r="N36" s="8"/>
      <c r="O36" s="8"/>
      <c r="P36" s="8"/>
      <c r="Q36" s="8"/>
      <c r="R36" s="8"/>
      <c r="S36" s="8"/>
      <c r="T36" s="8"/>
      <c r="U36" s="10"/>
      <c r="V36" s="35"/>
      <c r="W36" s="9"/>
      <c r="X36" s="8"/>
      <c r="Y36" s="8"/>
      <c r="Z36" s="27"/>
      <c r="AA36" s="4"/>
    </row>
    <row r="37" spans="1:27" s="3" customFormat="1" ht="84" customHeight="1">
      <c r="A37" s="4"/>
      <c r="B37" s="28" t="s">
        <v>140</v>
      </c>
      <c r="C37" s="28" t="s">
        <v>70</v>
      </c>
      <c r="D37" s="29" t="s">
        <v>141</v>
      </c>
      <c r="E37" s="39" t="s">
        <v>142</v>
      </c>
      <c r="F37" s="82" t="s">
        <v>76</v>
      </c>
      <c r="G37" s="29"/>
      <c r="H37" s="29"/>
      <c r="I37" s="29"/>
      <c r="J37" s="30"/>
      <c r="K37" s="16"/>
      <c r="L37" s="18"/>
      <c r="M37" s="23"/>
      <c r="N37" s="8"/>
      <c r="O37" s="8"/>
      <c r="P37" s="8"/>
      <c r="Q37" s="8"/>
      <c r="R37" s="8"/>
      <c r="S37" s="8"/>
      <c r="T37" s="8"/>
      <c r="U37" s="10"/>
      <c r="V37" s="35"/>
      <c r="W37" s="9"/>
      <c r="X37" s="8"/>
      <c r="Y37" s="8"/>
      <c r="Z37" s="27"/>
      <c r="AA37" s="4"/>
    </row>
    <row r="38" spans="1:27" s="3" customFormat="1" ht="104.1">
      <c r="A38" s="4"/>
      <c r="B38" s="28" t="s">
        <v>143</v>
      </c>
      <c r="C38" s="28" t="s">
        <v>70</v>
      </c>
      <c r="D38" s="29" t="s">
        <v>144</v>
      </c>
      <c r="E38" s="29"/>
      <c r="F38" s="82" t="s">
        <v>76</v>
      </c>
      <c r="G38" s="29"/>
      <c r="H38" s="29"/>
      <c r="I38" s="29"/>
      <c r="J38" s="13"/>
      <c r="K38" s="24"/>
      <c r="L38" s="7"/>
      <c r="M38" s="5"/>
      <c r="U38" s="6"/>
      <c r="V38" s="21"/>
      <c r="W38" s="5"/>
      <c r="Z38" s="7"/>
      <c r="AA38" s="4"/>
    </row>
    <row r="39" spans="1:27" s="3" customFormat="1" ht="67.5" customHeight="1">
      <c r="A39" s="4"/>
      <c r="B39" s="28" t="s">
        <v>145</v>
      </c>
      <c r="C39" s="4" t="s">
        <v>70</v>
      </c>
      <c r="D39" s="29" t="s">
        <v>146</v>
      </c>
      <c r="E39" s="66" t="s">
        <v>147</v>
      </c>
      <c r="F39" s="79" t="s">
        <v>148</v>
      </c>
      <c r="G39" s="29"/>
      <c r="H39" s="29"/>
      <c r="I39" s="29"/>
      <c r="J39" s="13"/>
      <c r="K39" s="24"/>
      <c r="L39" s="7"/>
      <c r="M39" s="5"/>
      <c r="U39" s="6"/>
      <c r="V39" s="21"/>
      <c r="W39" s="5"/>
      <c r="Z39" s="7"/>
      <c r="AA39" s="4"/>
    </row>
    <row r="40" spans="1:27" s="3" customFormat="1" ht="58.5" customHeight="1">
      <c r="A40" s="4"/>
      <c r="B40" s="28" t="s">
        <v>149</v>
      </c>
      <c r="C40" s="4" t="s">
        <v>150</v>
      </c>
      <c r="D40" s="29" t="s">
        <v>151</v>
      </c>
      <c r="E40" s="38"/>
      <c r="F40" s="82" t="s">
        <v>152</v>
      </c>
      <c r="G40" s="29"/>
      <c r="H40" s="29"/>
      <c r="I40" s="29"/>
      <c r="J40" s="13"/>
      <c r="K40" s="24"/>
      <c r="L40" s="7"/>
      <c r="M40" s="5"/>
      <c r="U40" s="6"/>
      <c r="V40" s="21"/>
      <c r="W40" s="5"/>
      <c r="Z40" s="7"/>
      <c r="AA40" s="4"/>
    </row>
    <row r="41" spans="1:27" s="3" customFormat="1" ht="63" customHeight="1">
      <c r="A41" s="4"/>
      <c r="B41" s="28" t="s">
        <v>153</v>
      </c>
      <c r="C41" s="4" t="s">
        <v>154</v>
      </c>
      <c r="D41" s="29" t="s">
        <v>155</v>
      </c>
      <c r="E41" s="38"/>
      <c r="F41" s="82" t="s">
        <v>156</v>
      </c>
      <c r="G41" s="29"/>
      <c r="H41" s="29"/>
      <c r="I41" s="29"/>
      <c r="J41" s="13"/>
      <c r="K41" s="24"/>
      <c r="L41" s="7"/>
      <c r="M41" s="5"/>
      <c r="U41" s="6"/>
      <c r="V41" s="21"/>
      <c r="W41" s="5"/>
      <c r="Z41" s="7"/>
      <c r="AA41" s="4"/>
    </row>
    <row r="42" spans="1:27" s="3" customFormat="1" ht="62.25" customHeight="1">
      <c r="A42" s="4"/>
      <c r="B42" s="28" t="s">
        <v>157</v>
      </c>
      <c r="C42" s="4" t="s">
        <v>154</v>
      </c>
      <c r="D42" s="29" t="s">
        <v>158</v>
      </c>
      <c r="E42" s="38"/>
      <c r="F42" s="82" t="s">
        <v>152</v>
      </c>
      <c r="G42" s="29"/>
      <c r="H42" s="29" t="s">
        <v>159</v>
      </c>
      <c r="I42" s="29"/>
      <c r="J42" s="13"/>
      <c r="K42" s="24"/>
      <c r="L42" s="7"/>
      <c r="M42" s="5"/>
      <c r="U42" s="6"/>
      <c r="V42" s="21"/>
      <c r="W42" s="5"/>
      <c r="Z42" s="7"/>
      <c r="AA42" s="4"/>
    </row>
    <row r="43" spans="1:27" s="3" customFormat="1" ht="99.75" customHeight="1">
      <c r="A43" s="4"/>
      <c r="B43" s="28" t="s">
        <v>160</v>
      </c>
      <c r="C43" s="4" t="s">
        <v>154</v>
      </c>
      <c r="D43" s="29" t="s">
        <v>161</v>
      </c>
      <c r="E43" s="38"/>
      <c r="F43" s="82" t="s">
        <v>152</v>
      </c>
      <c r="G43" s="29"/>
      <c r="H43" s="29"/>
      <c r="I43" s="29"/>
      <c r="J43" s="13"/>
      <c r="K43" s="24"/>
      <c r="L43" s="7"/>
      <c r="M43" s="5"/>
      <c r="U43" s="6"/>
      <c r="V43" s="21"/>
      <c r="W43" s="5"/>
      <c r="Z43" s="7"/>
      <c r="AA43" s="4"/>
    </row>
    <row r="44" spans="1:27" s="3" customFormat="1" ht="79.5" customHeight="1">
      <c r="A44" s="4"/>
      <c r="B44" s="28" t="s">
        <v>162</v>
      </c>
      <c r="C44" s="4" t="s">
        <v>154</v>
      </c>
      <c r="D44" s="29" t="s">
        <v>163</v>
      </c>
      <c r="E44" s="38"/>
      <c r="F44" s="82" t="s">
        <v>152</v>
      </c>
      <c r="G44" s="29"/>
      <c r="H44" s="29"/>
      <c r="I44" s="29"/>
      <c r="J44" s="13"/>
      <c r="K44" s="24"/>
      <c r="L44" s="7"/>
      <c r="M44" s="5"/>
      <c r="U44" s="6"/>
      <c r="V44" s="21"/>
      <c r="W44" s="5"/>
      <c r="Z44" s="7"/>
      <c r="AA44" s="4"/>
    </row>
    <row r="45" spans="1:27" s="3" customFormat="1" ht="78">
      <c r="A45" s="4"/>
      <c r="B45" s="28" t="s">
        <v>164</v>
      </c>
      <c r="C45" s="4" t="s">
        <v>154</v>
      </c>
      <c r="D45" s="29" t="s">
        <v>165</v>
      </c>
      <c r="E45" s="38" t="s">
        <v>166</v>
      </c>
      <c r="F45" s="82" t="s">
        <v>152</v>
      </c>
      <c r="G45" s="29"/>
      <c r="H45" s="29"/>
      <c r="I45" s="29"/>
      <c r="J45" s="13"/>
      <c r="K45" s="24"/>
      <c r="L45" s="7"/>
      <c r="M45" s="5"/>
      <c r="U45" s="6"/>
      <c r="V45" s="21"/>
      <c r="W45" s="5"/>
      <c r="Z45" s="7"/>
      <c r="AA45" s="4"/>
    </row>
    <row r="46" spans="1:27" s="3" customFormat="1" ht="51.95">
      <c r="A46" s="4"/>
      <c r="B46" s="28" t="s">
        <v>167</v>
      </c>
      <c r="C46" s="4" t="s">
        <v>154</v>
      </c>
      <c r="D46" s="29" t="s">
        <v>168</v>
      </c>
      <c r="E46" s="38" t="s">
        <v>169</v>
      </c>
      <c r="F46" s="82" t="s">
        <v>152</v>
      </c>
      <c r="G46" s="29"/>
      <c r="H46" s="29"/>
      <c r="I46" s="29"/>
      <c r="J46" s="13"/>
      <c r="K46" s="24"/>
      <c r="L46" s="7"/>
      <c r="M46" s="5"/>
      <c r="U46" s="6"/>
      <c r="V46" s="21"/>
      <c r="W46" s="5"/>
      <c r="Z46" s="7"/>
      <c r="AA46" s="4"/>
    </row>
    <row r="47" spans="1:27" s="3" customFormat="1" ht="57.75" customHeight="1">
      <c r="A47" s="4"/>
      <c r="B47" s="28" t="s">
        <v>170</v>
      </c>
      <c r="C47" s="4" t="s">
        <v>154</v>
      </c>
      <c r="D47" s="29" t="s">
        <v>171</v>
      </c>
      <c r="E47" s="38"/>
      <c r="F47" s="82" t="s">
        <v>152</v>
      </c>
      <c r="G47" s="29"/>
      <c r="H47" s="29"/>
      <c r="I47" s="29"/>
      <c r="J47" s="13"/>
      <c r="K47" s="24"/>
      <c r="L47" s="7"/>
      <c r="M47" s="5"/>
      <c r="U47" s="6"/>
      <c r="V47" s="21"/>
      <c r="W47" s="5"/>
      <c r="Z47" s="7"/>
      <c r="AA47" s="4"/>
    </row>
    <row r="48" spans="1:27" s="3" customFormat="1" ht="87">
      <c r="A48" s="4"/>
      <c r="B48" s="28" t="s">
        <v>172</v>
      </c>
      <c r="C48" s="4" t="s">
        <v>154</v>
      </c>
      <c r="D48" s="29" t="s">
        <v>173</v>
      </c>
      <c r="E48" s="38"/>
      <c r="F48" s="79" t="s">
        <v>174</v>
      </c>
      <c r="G48" s="29"/>
      <c r="H48" s="29"/>
      <c r="I48" s="29"/>
      <c r="J48" s="13"/>
      <c r="K48" s="24"/>
      <c r="L48" s="7"/>
      <c r="M48" s="5"/>
      <c r="U48" s="6"/>
      <c r="V48" s="21"/>
      <c r="W48" s="5"/>
      <c r="Z48" s="7"/>
      <c r="AA48" s="4"/>
    </row>
    <row r="49" spans="1:27" s="3" customFormat="1" ht="116.1">
      <c r="A49" s="4"/>
      <c r="B49" s="28" t="s">
        <v>175</v>
      </c>
      <c r="C49" s="4" t="s">
        <v>154</v>
      </c>
      <c r="D49" s="29" t="s">
        <v>176</v>
      </c>
      <c r="E49" s="38"/>
      <c r="F49" s="79" t="s">
        <v>177</v>
      </c>
      <c r="G49" s="29"/>
      <c r="H49" s="29"/>
      <c r="I49" s="29"/>
      <c r="J49" s="13"/>
      <c r="K49" s="24"/>
      <c r="L49" s="7"/>
      <c r="M49" s="5"/>
      <c r="U49" s="6"/>
      <c r="V49" s="21"/>
      <c r="W49" s="5"/>
      <c r="Z49" s="7"/>
      <c r="AA49" s="4"/>
    </row>
    <row r="50" spans="1:27" s="3" customFormat="1" ht="75.75" customHeight="1">
      <c r="A50" s="4"/>
      <c r="B50" s="28" t="s">
        <v>178</v>
      </c>
      <c r="C50" s="4" t="s">
        <v>150</v>
      </c>
      <c r="D50" s="29" t="s">
        <v>179</v>
      </c>
      <c r="E50" s="38" t="s">
        <v>180</v>
      </c>
      <c r="F50" s="79" t="s">
        <v>181</v>
      </c>
      <c r="G50" s="29"/>
      <c r="H50" s="29"/>
      <c r="I50" s="29"/>
      <c r="J50" s="13"/>
      <c r="K50" s="24"/>
      <c r="L50" s="7"/>
      <c r="M50" s="5"/>
      <c r="U50" s="6"/>
      <c r="V50" s="21"/>
      <c r="W50" s="5"/>
      <c r="Z50" s="7"/>
      <c r="AA50" s="4"/>
    </row>
    <row r="51" spans="1:27" s="3" customFormat="1" ht="66.75" customHeight="1">
      <c r="A51" s="4"/>
      <c r="B51" s="28" t="s">
        <v>182</v>
      </c>
      <c r="C51" s="28" t="s">
        <v>150</v>
      </c>
      <c r="D51" s="29" t="s">
        <v>183</v>
      </c>
      <c r="E51" s="39"/>
      <c r="F51" s="82" t="s">
        <v>152</v>
      </c>
      <c r="G51" s="29"/>
      <c r="H51" s="29"/>
      <c r="I51" s="29"/>
      <c r="J51" s="30"/>
      <c r="K51" s="16"/>
      <c r="L51" s="18"/>
      <c r="M51" s="23"/>
      <c r="N51" s="8"/>
      <c r="O51" s="8"/>
      <c r="P51" s="8"/>
      <c r="Q51" s="8"/>
      <c r="R51" s="8"/>
      <c r="S51" s="8"/>
      <c r="T51" s="8"/>
      <c r="U51" s="10"/>
      <c r="V51" s="35"/>
      <c r="W51" s="9"/>
      <c r="X51" s="8"/>
      <c r="Y51" s="8"/>
      <c r="Z51" s="27"/>
      <c r="AA51" s="4"/>
    </row>
    <row r="52" spans="1:27" s="3" customFormat="1" ht="312.75" customHeight="1">
      <c r="A52" s="4"/>
      <c r="B52" s="28" t="s">
        <v>184</v>
      </c>
      <c r="C52" s="4" t="s">
        <v>150</v>
      </c>
      <c r="D52" s="29" t="s">
        <v>185</v>
      </c>
      <c r="E52" s="66" t="s">
        <v>186</v>
      </c>
      <c r="F52" s="79" t="s">
        <v>187</v>
      </c>
      <c r="G52" s="29"/>
      <c r="H52" s="29"/>
      <c r="I52" s="29"/>
      <c r="J52" s="13"/>
      <c r="K52" s="24"/>
      <c r="L52" s="7"/>
      <c r="M52" s="5"/>
      <c r="U52" s="6"/>
      <c r="V52" s="21"/>
      <c r="W52" s="5"/>
      <c r="Z52" s="7"/>
      <c r="AA52" s="4"/>
    </row>
    <row r="53" spans="1:27" s="3" customFormat="1" ht="67.5" customHeight="1">
      <c r="A53" s="4"/>
      <c r="B53" s="28" t="s">
        <v>188</v>
      </c>
      <c r="C53" s="4" t="s">
        <v>150</v>
      </c>
      <c r="D53" s="29" t="s">
        <v>189</v>
      </c>
      <c r="E53" s="38"/>
      <c r="F53" s="82" t="s">
        <v>152</v>
      </c>
      <c r="G53" s="29"/>
      <c r="H53" s="29" t="s">
        <v>190</v>
      </c>
      <c r="I53" s="29"/>
      <c r="J53" s="13"/>
      <c r="K53" s="24"/>
      <c r="L53" s="7"/>
      <c r="M53" s="5"/>
      <c r="U53" s="6"/>
      <c r="V53" s="21"/>
      <c r="W53" s="5"/>
      <c r="Z53" s="7"/>
      <c r="AA53" s="4"/>
    </row>
    <row r="54" spans="1:27" s="3" customFormat="1" ht="53.25" customHeight="1">
      <c r="A54" s="4"/>
      <c r="B54" s="28" t="s">
        <v>191</v>
      </c>
      <c r="C54" s="4" t="s">
        <v>150</v>
      </c>
      <c r="D54" s="29" t="s">
        <v>192</v>
      </c>
      <c r="E54" s="38" t="s">
        <v>193</v>
      </c>
      <c r="F54" s="82" t="s">
        <v>152</v>
      </c>
      <c r="G54" s="29"/>
      <c r="H54" s="29"/>
      <c r="I54" s="29"/>
      <c r="J54" s="13"/>
      <c r="K54" s="24"/>
      <c r="L54" s="7"/>
      <c r="M54" s="5"/>
      <c r="U54" s="6"/>
      <c r="V54" s="21"/>
      <c r="W54" s="5"/>
      <c r="Z54" s="7"/>
      <c r="AA54" s="4"/>
    </row>
    <row r="55" spans="1:27" s="3" customFormat="1" ht="51.95">
      <c r="A55" s="4"/>
      <c r="B55" s="28" t="s">
        <v>194</v>
      </c>
      <c r="C55" s="4" t="s">
        <v>150</v>
      </c>
      <c r="D55" s="29" t="s">
        <v>195</v>
      </c>
      <c r="E55" s="38"/>
      <c r="F55" s="82" t="s">
        <v>152</v>
      </c>
      <c r="G55" s="29"/>
      <c r="H55" s="29"/>
      <c r="I55" s="29"/>
      <c r="J55" s="13"/>
      <c r="K55" s="24"/>
      <c r="L55" s="7"/>
      <c r="M55" s="5"/>
      <c r="U55" s="6"/>
      <c r="V55" s="21"/>
      <c r="W55" s="5"/>
      <c r="Z55" s="7"/>
      <c r="AA55" s="4"/>
    </row>
    <row r="56" spans="1:27" s="3" customFormat="1" ht="318.95">
      <c r="A56" s="4"/>
      <c r="B56" s="28" t="s">
        <v>196</v>
      </c>
      <c r="C56" s="4" t="s">
        <v>154</v>
      </c>
      <c r="D56" s="29" t="s">
        <v>197</v>
      </c>
      <c r="E56" s="38"/>
      <c r="F56" s="79" t="s">
        <v>198</v>
      </c>
      <c r="G56" s="29"/>
      <c r="H56" s="29"/>
      <c r="I56" s="29"/>
      <c r="J56" s="13"/>
      <c r="K56" s="24"/>
      <c r="L56" s="7"/>
      <c r="M56" s="5"/>
      <c r="U56" s="6"/>
      <c r="V56" s="21"/>
      <c r="W56" s="5"/>
      <c r="Z56" s="7"/>
      <c r="AA56" s="4"/>
    </row>
    <row r="57" spans="1:27" s="3" customFormat="1" ht="66.75" customHeight="1">
      <c r="A57" s="4"/>
      <c r="B57" s="28" t="s">
        <v>199</v>
      </c>
      <c r="C57" s="4" t="s">
        <v>154</v>
      </c>
      <c r="D57" s="29" t="s">
        <v>200</v>
      </c>
      <c r="E57" s="38"/>
      <c r="F57" s="82" t="s">
        <v>152</v>
      </c>
      <c r="G57" s="29"/>
      <c r="H57" s="29"/>
      <c r="I57" s="29"/>
      <c r="J57" s="13"/>
      <c r="K57" s="24"/>
      <c r="L57" s="7"/>
      <c r="M57" s="5"/>
      <c r="U57" s="6"/>
      <c r="V57" s="21"/>
      <c r="W57" s="5"/>
      <c r="Z57" s="7"/>
      <c r="AA57" s="4"/>
    </row>
    <row r="58" spans="1:27" s="3" customFormat="1" ht="54.75" customHeight="1">
      <c r="A58" s="4"/>
      <c r="B58" s="28" t="s">
        <v>201</v>
      </c>
      <c r="C58" s="4" t="s">
        <v>150</v>
      </c>
      <c r="D58" s="29" t="s">
        <v>202</v>
      </c>
      <c r="E58" s="38"/>
      <c r="F58" s="82" t="s">
        <v>152</v>
      </c>
      <c r="G58" s="29"/>
      <c r="H58" s="29"/>
      <c r="I58" s="29"/>
      <c r="J58" s="13"/>
      <c r="K58" s="24"/>
      <c r="L58" s="7"/>
      <c r="M58" s="5"/>
      <c r="U58" s="6"/>
      <c r="V58" s="21"/>
      <c r="W58" s="5"/>
      <c r="Z58" s="7"/>
      <c r="AA58" s="4"/>
    </row>
    <row r="59" spans="1:27" s="3" customFormat="1" ht="39">
      <c r="A59" s="4"/>
      <c r="B59" s="28" t="s">
        <v>203</v>
      </c>
      <c r="C59" s="4" t="s">
        <v>150</v>
      </c>
      <c r="D59" s="29" t="s">
        <v>204</v>
      </c>
      <c r="E59" s="38"/>
      <c r="F59" s="82" t="s">
        <v>152</v>
      </c>
      <c r="G59" s="29"/>
      <c r="H59" s="29"/>
      <c r="I59" s="29"/>
      <c r="J59" s="13"/>
      <c r="K59" s="24"/>
      <c r="L59" s="7"/>
      <c r="M59" s="5"/>
      <c r="U59" s="6"/>
      <c r="V59" s="21"/>
      <c r="W59" s="5"/>
      <c r="Z59" s="7"/>
      <c r="AA59" s="4"/>
    </row>
    <row r="60" spans="1:27" s="3" customFormat="1" ht="90.95">
      <c r="A60" s="4"/>
      <c r="B60" s="28" t="s">
        <v>205</v>
      </c>
      <c r="C60" s="4" t="s">
        <v>150</v>
      </c>
      <c r="D60" s="29" t="s">
        <v>206</v>
      </c>
      <c r="E60" s="38" t="s">
        <v>207</v>
      </c>
      <c r="F60" s="82" t="s">
        <v>152</v>
      </c>
      <c r="G60" s="29"/>
      <c r="H60" s="29" t="s">
        <v>208</v>
      </c>
      <c r="I60" s="29"/>
      <c r="J60" s="13"/>
      <c r="K60" s="24"/>
      <c r="L60" s="7"/>
      <c r="M60" s="5"/>
      <c r="U60" s="6"/>
      <c r="V60" s="21"/>
      <c r="W60" s="5"/>
      <c r="Z60" s="7"/>
      <c r="AA60" s="4"/>
    </row>
    <row r="61" spans="1:27" s="3" customFormat="1" ht="78">
      <c r="A61" s="4"/>
      <c r="B61" s="28" t="s">
        <v>209</v>
      </c>
      <c r="C61" s="4" t="s">
        <v>150</v>
      </c>
      <c r="D61" s="29" t="s">
        <v>210</v>
      </c>
      <c r="E61" s="29"/>
      <c r="F61" s="82" t="s">
        <v>152</v>
      </c>
      <c r="G61" s="29"/>
      <c r="H61" s="29"/>
      <c r="I61" s="29"/>
      <c r="J61" s="13"/>
      <c r="K61" s="24"/>
      <c r="L61" s="7"/>
      <c r="M61" s="5"/>
      <c r="U61" s="6"/>
      <c r="V61" s="21"/>
      <c r="W61" s="5"/>
      <c r="Z61" s="7"/>
      <c r="AA61" s="4"/>
    </row>
    <row r="62" spans="1:27" s="3" customFormat="1" ht="78">
      <c r="A62" s="4"/>
      <c r="B62" s="28" t="s">
        <v>211</v>
      </c>
      <c r="C62" s="28" t="s">
        <v>70</v>
      </c>
      <c r="D62" s="29" t="s">
        <v>212</v>
      </c>
      <c r="E62" s="29"/>
      <c r="F62" s="82" t="s">
        <v>152</v>
      </c>
      <c r="G62" s="29"/>
      <c r="H62" s="29"/>
      <c r="I62" s="29"/>
      <c r="J62" s="30"/>
      <c r="K62" s="16"/>
      <c r="L62" s="18"/>
      <c r="M62" s="23"/>
      <c r="N62" s="8"/>
      <c r="O62" s="8"/>
      <c r="P62" s="8"/>
      <c r="Q62" s="8"/>
      <c r="R62" s="8"/>
      <c r="S62" s="8"/>
      <c r="T62" s="8"/>
      <c r="U62" s="10"/>
      <c r="V62" s="35"/>
      <c r="W62" s="9"/>
      <c r="X62" s="8"/>
      <c r="Y62" s="8"/>
      <c r="Z62" s="27"/>
      <c r="AA62" s="4"/>
    </row>
    <row r="63" spans="1:27" s="3" customFormat="1" ht="96" customHeight="1">
      <c r="A63" s="4"/>
      <c r="B63" s="28" t="s">
        <v>213</v>
      </c>
      <c r="C63" s="4" t="s">
        <v>70</v>
      </c>
      <c r="D63" s="29" t="s">
        <v>214</v>
      </c>
      <c r="E63" s="29"/>
      <c r="F63" s="82" t="s">
        <v>152</v>
      </c>
      <c r="G63" s="29"/>
      <c r="H63" s="29"/>
      <c r="I63" s="29"/>
      <c r="J63" s="13"/>
      <c r="K63" s="24"/>
      <c r="L63" s="7"/>
      <c r="M63" s="5"/>
      <c r="U63" s="6"/>
      <c r="V63" s="21"/>
      <c r="W63" s="5"/>
      <c r="Z63" s="7"/>
      <c r="AA63" s="4"/>
    </row>
    <row r="64" spans="1:27" s="3" customFormat="1" ht="96" customHeight="1">
      <c r="A64" s="4"/>
      <c r="B64" s="28" t="s">
        <v>215</v>
      </c>
      <c r="C64" s="4" t="s">
        <v>70</v>
      </c>
      <c r="D64" s="29" t="s">
        <v>216</v>
      </c>
      <c r="E64" s="29"/>
      <c r="F64" s="80" t="s">
        <v>217</v>
      </c>
      <c r="G64" s="29"/>
      <c r="H64" s="29"/>
      <c r="I64" s="29"/>
      <c r="J64" s="13"/>
      <c r="K64" s="24"/>
      <c r="L64" s="7"/>
      <c r="M64" s="5"/>
      <c r="U64" s="6"/>
      <c r="V64" s="21"/>
      <c r="W64" s="5"/>
      <c r="Z64" s="7"/>
      <c r="AA64" s="4"/>
    </row>
    <row r="65" spans="1:27" s="3" customFormat="1" ht="96" customHeight="1">
      <c r="A65" s="4"/>
      <c r="B65" s="28" t="s">
        <v>218</v>
      </c>
      <c r="C65" s="4" t="s">
        <v>70</v>
      </c>
      <c r="D65" s="29" t="s">
        <v>219</v>
      </c>
      <c r="E65" s="29"/>
      <c r="F65" s="80" t="s">
        <v>220</v>
      </c>
      <c r="G65" s="29"/>
      <c r="H65" s="29" t="s">
        <v>221</v>
      </c>
      <c r="I65" s="29"/>
      <c r="J65" s="13"/>
      <c r="K65" s="24"/>
      <c r="L65" s="7"/>
      <c r="M65" s="5"/>
      <c r="U65" s="6"/>
      <c r="V65" s="21"/>
      <c r="W65" s="5"/>
      <c r="Z65" s="7"/>
      <c r="AA65" s="4"/>
    </row>
    <row r="66" spans="1:27" s="3" customFormat="1" ht="409.5">
      <c r="A66" s="4"/>
      <c r="B66" s="28" t="s">
        <v>222</v>
      </c>
      <c r="C66" s="4" t="s">
        <v>223</v>
      </c>
      <c r="D66" s="29" t="s">
        <v>224</v>
      </c>
      <c r="E66" s="32"/>
      <c r="F66" s="82" t="s">
        <v>152</v>
      </c>
      <c r="G66" s="32"/>
      <c r="H66" s="32"/>
      <c r="I66" s="32"/>
      <c r="J66" s="13"/>
      <c r="K66" s="24"/>
      <c r="L66" s="7"/>
      <c r="M66" s="5"/>
      <c r="U66" s="6"/>
      <c r="V66" s="21"/>
      <c r="W66" s="5"/>
      <c r="Z66" s="7"/>
      <c r="AA66" s="4"/>
    </row>
    <row r="67" spans="1:27" s="3" customFormat="1" ht="188.45">
      <c r="A67" s="4"/>
      <c r="B67" s="28" t="s">
        <v>225</v>
      </c>
      <c r="C67" s="4" t="s">
        <v>223</v>
      </c>
      <c r="D67" s="29" t="s">
        <v>226</v>
      </c>
      <c r="E67" s="29"/>
      <c r="F67" s="80" t="s">
        <v>227</v>
      </c>
      <c r="G67" s="29"/>
      <c r="H67" s="29"/>
      <c r="I67" s="29"/>
      <c r="J67" s="13"/>
      <c r="K67" s="24"/>
      <c r="L67" s="7"/>
      <c r="M67" s="5"/>
      <c r="U67" s="6"/>
      <c r="V67" s="21"/>
      <c r="W67" s="5"/>
      <c r="Z67" s="7"/>
      <c r="AA67" s="4"/>
    </row>
    <row r="68" spans="1:27" s="3" customFormat="1" ht="231.95">
      <c r="A68" s="4"/>
      <c r="B68" s="28" t="s">
        <v>228</v>
      </c>
      <c r="C68" s="4" t="s">
        <v>223</v>
      </c>
      <c r="D68" s="29" t="s">
        <v>229</v>
      </c>
      <c r="E68" s="29"/>
      <c r="F68" s="80" t="s">
        <v>230</v>
      </c>
      <c r="G68" s="29" t="s">
        <v>231</v>
      </c>
      <c r="H68" s="29" t="s">
        <v>232</v>
      </c>
      <c r="I68" s="29"/>
      <c r="J68" s="13"/>
      <c r="K68" s="24"/>
      <c r="L68" s="7"/>
      <c r="M68" s="5"/>
      <c r="U68" s="6"/>
      <c r="V68" s="21"/>
      <c r="W68" s="5"/>
      <c r="Z68" s="7"/>
      <c r="AA68" s="4"/>
    </row>
    <row r="69" spans="1:27" s="3" customFormat="1" ht="61.5" customHeight="1">
      <c r="A69" s="4"/>
      <c r="B69" s="28" t="s">
        <v>233</v>
      </c>
      <c r="C69" s="4" t="s">
        <v>223</v>
      </c>
      <c r="D69" s="29" t="s">
        <v>234</v>
      </c>
      <c r="E69" s="29"/>
      <c r="F69" s="82" t="s">
        <v>152</v>
      </c>
      <c r="G69" s="29" t="s">
        <v>235</v>
      </c>
      <c r="H69" s="29"/>
      <c r="I69" s="29"/>
      <c r="J69" s="13"/>
      <c r="K69" s="24"/>
      <c r="L69" s="7"/>
      <c r="M69" s="5"/>
      <c r="U69" s="6"/>
      <c r="V69" s="21"/>
      <c r="W69" s="5"/>
      <c r="Z69" s="7"/>
      <c r="AA69" s="4"/>
    </row>
    <row r="70" spans="1:27" s="3" customFormat="1" ht="51.95">
      <c r="A70" s="4"/>
      <c r="B70" s="28" t="s">
        <v>236</v>
      </c>
      <c r="C70" s="4" t="s">
        <v>223</v>
      </c>
      <c r="D70" s="29" t="s">
        <v>237</v>
      </c>
      <c r="E70" s="29"/>
      <c r="F70" s="82" t="s">
        <v>152</v>
      </c>
      <c r="G70" s="29"/>
      <c r="H70" s="29"/>
      <c r="I70" s="29"/>
      <c r="J70" s="13"/>
      <c r="K70" s="24"/>
      <c r="L70" s="7"/>
      <c r="M70" s="5"/>
      <c r="U70" s="6"/>
      <c r="V70" s="21"/>
      <c r="W70" s="5"/>
      <c r="Z70" s="7"/>
      <c r="AA70" s="4"/>
    </row>
  </sheetData>
  <mergeCells count="12">
    <mergeCell ref="A1:E1"/>
    <mergeCell ref="A2:D2"/>
    <mergeCell ref="A4:E4"/>
    <mergeCell ref="A5:E5"/>
    <mergeCell ref="A6:E6"/>
    <mergeCell ref="A3:D3"/>
    <mergeCell ref="A9:A10"/>
    <mergeCell ref="M7:Q7"/>
    <mergeCell ref="R7:U7"/>
    <mergeCell ref="W7:Z7"/>
    <mergeCell ref="B7:J7"/>
    <mergeCell ref="K7:L7"/>
  </mergeCells>
  <phoneticPr fontId="5" type="noConversion"/>
  <hyperlinks>
    <hyperlink ref="I11" r:id="rId1" xr:uid="{016AB0E0-1937-47B4-AF21-50A5860DC1A8}"/>
    <hyperlink ref="I18" r:id="rId2" xr:uid="{8D141CA9-FDA8-4C34-A4F4-FF31C37CD9CE}"/>
    <hyperlink ref="G19" r:id="rId3" display="../../../../RA/SitePages/Inside-GREAT-2.0--The-Next-Step-Toward-Scalable-AI-Translations-in-BRAVE.aspx?TeamsCID=572ace43-a6ac-4d49-945a-bb5a46c018b7&amp;OR=Teams-HL&amp;CT=1783386451720&amp;xsdata=MDV8MDJ8fDFjOTRhNzVlNzZhNzQxMGJkYjVmMDhkZWRjMDIwOTc1fGZjYjJiMzdiNWRhMDQ2NmI5YjgzMDAxNGI2N2E3Yzc4fDB8MHw2MzkxOTAwOTg0Mzk5NzMzMjh8VW5rbm93bnxWR1ZoYlhOVFpXTjFjbWwwZVZObGNuWnBZMlY4ZXlKRFFTSTZJbFJsWVcxelgwRlVVRk5sY25acFkyVmZVMUJQVEU5R0lpd2lWaUk2SWpBdU1DNHdNREF3SWl3aVVDSTZJbGRwYmpNeUlpd2lRVTRpT2lKUGRHaGxjaUlzSWxkVUlqb3hNWDA9fDF8TDNSbFlXMXpMekU1T2pjd1oxa3dNVmgwVHpjMFVWWkdSVVY1Tld4SFZtSTBOMlozT1MxdWRsRm5ObXgxVjNGZlFsSktabGt4UUhSb2NtVmhaQzUwWVdOMk1pOWphR0Z1Ym1Wc2N5OHhPVHBoTkdJd09ERXhPVGd5TnpRMFlqZzRZVGRtWW1NMVpUa3pNamt6WlRReFpVQjBhSEpsWVdRdWRHRmpkakl2YldWemMyRm5aWE12TVRjNE16UXhNekEwTWpBMU1nPT18YjczMTA3YzNhOGJiNDFkYTc2ZTcwOGRlZGMwMjA5NzV8Y2FjNTlkNGRmYWExNDhjN2I2NzhkNWM2NDVmOTU2YjI%3D&amp;sdata=aFFzSFV0N0FmeHZ1UUJ6SEFvUHZrK2ZoN2RtRjJzZnJXSjFBSzJuUzUzQT0%3D&amp;ovuser=fcb2b37b-5da0-466b-9b83-0014b67a7c78%2Ceva.westendorf%40bayer.com&amp;clickparams=eyJBcHBOYW1lIjoiVGVhbXMtRGVza3RvcCIsIkFwcFZlcnNpb24iOiI0OS8yNjA4MDIwMDYyMCJ9" xr:uid="{4B8070C5-3AC2-41D0-9251-9A539F5D8E64}"/>
  </hyperlinks>
  <pageMargins left="0.7" right="0.7" top="0.78740157499999996" bottom="0.78740157499999996" header="0.3" footer="0.3"/>
  <pageSetup orientation="portrait" r:id="rId4"/>
  <headerFooter>
    <oddFooter>&amp;R&amp;1#&amp;"Calibri"&amp;22&amp;KFF8939RESTRICTED</oddFooter>
  </headerFooter>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CF842-AF11-4B12-BEC4-26146D2A0C3F}">
  <dimension ref="A1:L105"/>
  <sheetViews>
    <sheetView tabSelected="1" zoomScale="130" zoomScaleNormal="130" workbookViewId="0">
      <selection activeCell="M11" sqref="M11"/>
    </sheetView>
  </sheetViews>
  <sheetFormatPr defaultColWidth="11.42578125" defaultRowHeight="14.45"/>
  <cols>
    <col min="1" max="1" width="22.85546875" customWidth="1"/>
    <col min="2" max="2" width="32.85546875" style="65" customWidth="1"/>
    <col min="3" max="3" width="30.7109375" customWidth="1"/>
    <col min="4" max="4" width="27.140625" customWidth="1"/>
    <col min="5" max="5" width="36.5703125" customWidth="1"/>
    <col min="6" max="6" width="42.140625" style="43" customWidth="1"/>
    <col min="7" max="7" width="24.42578125" customWidth="1"/>
    <col min="8" max="8" width="30.7109375" bestFit="1" customWidth="1"/>
    <col min="9" max="9" width="27.5703125" customWidth="1"/>
  </cols>
  <sheetData>
    <row r="1" spans="1:12" ht="75.75" customHeight="1">
      <c r="A1" s="41" t="s">
        <v>238</v>
      </c>
      <c r="B1" s="42" t="s">
        <v>239</v>
      </c>
      <c r="C1" s="42"/>
      <c r="D1" s="42"/>
      <c r="E1" s="42"/>
      <c r="G1" s="42"/>
      <c r="H1" s="42"/>
    </row>
    <row r="2" spans="1:12" ht="33.75" customHeight="1">
      <c r="A2" s="104" t="s">
        <v>240</v>
      </c>
      <c r="B2" s="44" t="s">
        <v>241</v>
      </c>
      <c r="C2" s="44" t="s">
        <v>242</v>
      </c>
      <c r="D2" s="45" t="s">
        <v>243</v>
      </c>
      <c r="E2" s="44" t="s">
        <v>244</v>
      </c>
      <c r="F2" s="45" t="s">
        <v>245</v>
      </c>
      <c r="G2" s="46" t="s">
        <v>246</v>
      </c>
      <c r="H2" s="47" t="s">
        <v>247</v>
      </c>
      <c r="I2" s="15" t="s">
        <v>248</v>
      </c>
    </row>
    <row r="3" spans="1:12" ht="48" hidden="1">
      <c r="A3" s="105" t="s">
        <v>249</v>
      </c>
      <c r="B3" s="48" t="s">
        <v>250</v>
      </c>
      <c r="C3" s="49" t="s">
        <v>251</v>
      </c>
      <c r="D3" s="49" t="s">
        <v>252</v>
      </c>
      <c r="E3" s="50" t="s">
        <v>253</v>
      </c>
      <c r="F3" s="50" t="s">
        <v>254</v>
      </c>
      <c r="G3" s="51"/>
      <c r="H3" s="42"/>
      <c r="I3" s="17" t="s">
        <v>255</v>
      </c>
    </row>
    <row r="4" spans="1:12" ht="15" hidden="1">
      <c r="A4" s="105"/>
      <c r="B4" s="48" t="s">
        <v>256</v>
      </c>
      <c r="C4" s="49" t="s">
        <v>257</v>
      </c>
      <c r="D4" s="49" t="s">
        <v>252</v>
      </c>
      <c r="E4" s="49" t="s">
        <v>258</v>
      </c>
      <c r="F4" s="50" t="s">
        <v>259</v>
      </c>
      <c r="G4" s="51"/>
      <c r="H4" s="42"/>
      <c r="I4" s="17" t="s">
        <v>255</v>
      </c>
    </row>
    <row r="5" spans="1:12" ht="15" hidden="1">
      <c r="A5" s="105" t="s">
        <v>260</v>
      </c>
      <c r="B5" s="48" t="s">
        <v>261</v>
      </c>
      <c r="C5" s="49" t="s">
        <v>262</v>
      </c>
      <c r="D5" s="49" t="s">
        <v>263</v>
      </c>
      <c r="E5" s="49" t="s">
        <v>264</v>
      </c>
      <c r="F5" s="50" t="s">
        <v>265</v>
      </c>
      <c r="G5" s="51"/>
      <c r="H5" s="42"/>
      <c r="I5" s="17" t="s">
        <v>255</v>
      </c>
    </row>
    <row r="6" spans="1:12" ht="15" hidden="1">
      <c r="A6" s="105" t="s">
        <v>266</v>
      </c>
      <c r="B6" s="48" t="s">
        <v>267</v>
      </c>
      <c r="C6" s="49" t="s">
        <v>268</v>
      </c>
      <c r="D6" s="49" t="s">
        <v>263</v>
      </c>
      <c r="E6" s="49" t="s">
        <v>264</v>
      </c>
      <c r="F6" s="50" t="s">
        <v>265</v>
      </c>
      <c r="G6" s="51"/>
      <c r="H6" s="42"/>
      <c r="I6" s="17" t="s">
        <v>255</v>
      </c>
    </row>
    <row r="7" spans="1:12" ht="49.5" customHeight="1">
      <c r="A7" s="105"/>
      <c r="B7" s="48" t="s">
        <v>269</v>
      </c>
      <c r="C7" s="49" t="s">
        <v>270</v>
      </c>
      <c r="D7" s="49" t="s">
        <v>271</v>
      </c>
      <c r="E7" s="50" t="s">
        <v>272</v>
      </c>
      <c r="F7" s="50" t="s">
        <v>273</v>
      </c>
      <c r="G7" s="51" t="s">
        <v>274</v>
      </c>
      <c r="H7" s="42" t="s">
        <v>275</v>
      </c>
      <c r="I7" s="17" t="s">
        <v>276</v>
      </c>
      <c r="L7" t="s">
        <v>277</v>
      </c>
    </row>
    <row r="8" spans="1:12" ht="36">
      <c r="A8" s="105"/>
      <c r="B8" s="48" t="s">
        <v>278</v>
      </c>
      <c r="C8" s="49" t="s">
        <v>270</v>
      </c>
      <c r="D8" s="49" t="s">
        <v>271</v>
      </c>
      <c r="E8" s="50" t="s">
        <v>279</v>
      </c>
      <c r="F8" s="50" t="s">
        <v>280</v>
      </c>
      <c r="G8" s="51"/>
      <c r="H8" s="42"/>
      <c r="I8" s="17" t="s">
        <v>276</v>
      </c>
    </row>
    <row r="9" spans="1:12" ht="24">
      <c r="A9" s="105"/>
      <c r="B9" s="48" t="s">
        <v>281</v>
      </c>
      <c r="C9" s="49" t="s">
        <v>282</v>
      </c>
      <c r="D9" s="49" t="s">
        <v>283</v>
      </c>
      <c r="E9" s="50" t="s">
        <v>284</v>
      </c>
      <c r="F9" s="50" t="s">
        <v>280</v>
      </c>
      <c r="G9" s="51"/>
      <c r="H9" s="42"/>
      <c r="I9" s="17" t="s">
        <v>276</v>
      </c>
    </row>
    <row r="10" spans="1:12" ht="24">
      <c r="A10" s="105"/>
      <c r="B10" s="48" t="s">
        <v>285</v>
      </c>
      <c r="C10" s="49" t="s">
        <v>282</v>
      </c>
      <c r="D10" s="49" t="s">
        <v>283</v>
      </c>
      <c r="E10" s="50" t="s">
        <v>284</v>
      </c>
      <c r="F10" s="50" t="s">
        <v>280</v>
      </c>
      <c r="G10" s="51"/>
      <c r="H10" s="42"/>
      <c r="I10" s="17" t="s">
        <v>276</v>
      </c>
    </row>
    <row r="11" spans="1:12" ht="60">
      <c r="A11" s="105"/>
      <c r="B11" s="48" t="s">
        <v>286</v>
      </c>
      <c r="C11" s="49" t="s">
        <v>282</v>
      </c>
      <c r="D11" s="49" t="s">
        <v>283</v>
      </c>
      <c r="E11" s="50" t="s">
        <v>287</v>
      </c>
      <c r="F11" s="50" t="s">
        <v>280</v>
      </c>
      <c r="G11" s="51"/>
      <c r="H11" s="42"/>
      <c r="I11" s="17" t="s">
        <v>276</v>
      </c>
    </row>
    <row r="12" spans="1:12" ht="24" hidden="1">
      <c r="A12" s="105"/>
      <c r="B12" s="48" t="s">
        <v>288</v>
      </c>
      <c r="C12" s="49" t="s">
        <v>289</v>
      </c>
      <c r="D12" s="49" t="s">
        <v>283</v>
      </c>
      <c r="E12" s="49" t="s">
        <v>290</v>
      </c>
      <c r="F12" s="50" t="s">
        <v>291</v>
      </c>
      <c r="G12" s="51" t="s">
        <v>292</v>
      </c>
      <c r="H12" s="42"/>
      <c r="I12" s="17" t="s">
        <v>255</v>
      </c>
    </row>
    <row r="13" spans="1:12" ht="24" hidden="1">
      <c r="A13" s="105"/>
      <c r="B13" s="48" t="s">
        <v>293</v>
      </c>
      <c r="C13" s="49" t="s">
        <v>294</v>
      </c>
      <c r="D13" s="49" t="s">
        <v>283</v>
      </c>
      <c r="E13" s="49"/>
      <c r="F13" s="50" t="s">
        <v>291</v>
      </c>
      <c r="G13" s="51" t="s">
        <v>292</v>
      </c>
      <c r="H13" s="42"/>
      <c r="I13" s="17" t="s">
        <v>255</v>
      </c>
    </row>
    <row r="14" spans="1:12" ht="15" hidden="1">
      <c r="A14" s="105"/>
      <c r="B14" s="52" t="s">
        <v>295</v>
      </c>
      <c r="C14" s="49"/>
      <c r="D14" s="49" t="s">
        <v>283</v>
      </c>
      <c r="E14" s="49" t="s">
        <v>296</v>
      </c>
      <c r="F14" s="50" t="s">
        <v>297</v>
      </c>
      <c r="G14" s="51" t="s">
        <v>292</v>
      </c>
      <c r="H14" s="42"/>
      <c r="I14" s="17" t="s">
        <v>255</v>
      </c>
    </row>
    <row r="15" spans="1:12" ht="15" hidden="1">
      <c r="A15" s="105"/>
      <c r="B15" s="52" t="s">
        <v>298</v>
      </c>
      <c r="C15" s="49" t="s">
        <v>299</v>
      </c>
      <c r="D15" s="49" t="s">
        <v>283</v>
      </c>
      <c r="E15" s="49"/>
      <c r="F15" s="50" t="s">
        <v>300</v>
      </c>
      <c r="G15" s="51" t="s">
        <v>292</v>
      </c>
      <c r="H15" s="42"/>
      <c r="I15" s="17" t="s">
        <v>255</v>
      </c>
    </row>
    <row r="16" spans="1:12" ht="26.25" customHeight="1">
      <c r="A16" s="105"/>
      <c r="B16" s="48" t="s">
        <v>301</v>
      </c>
      <c r="C16" s="49"/>
      <c r="D16" s="49" t="s">
        <v>283</v>
      </c>
      <c r="E16" s="49" t="s">
        <v>302</v>
      </c>
      <c r="F16" s="50" t="s">
        <v>303</v>
      </c>
      <c r="G16" s="51" t="s">
        <v>292</v>
      </c>
      <c r="H16" s="42"/>
      <c r="I16" s="17" t="s">
        <v>276</v>
      </c>
    </row>
    <row r="17" spans="1:9" ht="28.5" customHeight="1">
      <c r="A17" s="105"/>
      <c r="B17" s="52" t="s">
        <v>304</v>
      </c>
      <c r="C17" s="49"/>
      <c r="D17" s="49" t="s">
        <v>283</v>
      </c>
      <c r="E17" s="49" t="s">
        <v>305</v>
      </c>
      <c r="F17" s="50" t="s">
        <v>303</v>
      </c>
      <c r="G17" s="51" t="s">
        <v>292</v>
      </c>
      <c r="H17" s="42"/>
      <c r="I17" s="17" t="s">
        <v>276</v>
      </c>
    </row>
    <row r="18" spans="1:9" ht="43.5" customHeight="1">
      <c r="A18" s="105"/>
      <c r="B18" s="48" t="s">
        <v>306</v>
      </c>
      <c r="C18" s="49"/>
      <c r="D18" s="49" t="s">
        <v>252</v>
      </c>
      <c r="E18" s="49" t="s">
        <v>307</v>
      </c>
      <c r="F18" s="50" t="s">
        <v>308</v>
      </c>
      <c r="G18" s="51" t="s">
        <v>292</v>
      </c>
      <c r="H18" s="42"/>
      <c r="I18" s="17" t="s">
        <v>276</v>
      </c>
    </row>
    <row r="19" spans="1:9" ht="24">
      <c r="A19" s="105"/>
      <c r="B19" s="48" t="s">
        <v>309</v>
      </c>
      <c r="C19" s="49" t="s">
        <v>310</v>
      </c>
      <c r="D19" s="49" t="s">
        <v>311</v>
      </c>
      <c r="E19" s="49"/>
      <c r="F19" s="50" t="s">
        <v>312</v>
      </c>
      <c r="G19" s="51" t="s">
        <v>274</v>
      </c>
      <c r="H19" s="42"/>
      <c r="I19" s="17" t="s">
        <v>276</v>
      </c>
    </row>
    <row r="20" spans="1:9" ht="15" hidden="1">
      <c r="A20" s="105"/>
      <c r="B20" s="48" t="s">
        <v>313</v>
      </c>
      <c r="C20" s="49" t="s">
        <v>314</v>
      </c>
      <c r="D20" s="49" t="s">
        <v>252</v>
      </c>
      <c r="E20" s="49" t="s">
        <v>315</v>
      </c>
      <c r="F20" s="50" t="s">
        <v>316</v>
      </c>
      <c r="G20" s="51" t="s">
        <v>292</v>
      </c>
      <c r="H20" s="42"/>
      <c r="I20" s="17" t="s">
        <v>255</v>
      </c>
    </row>
    <row r="21" spans="1:9" ht="15">
      <c r="A21" s="105"/>
      <c r="B21" s="48" t="s">
        <v>317</v>
      </c>
      <c r="C21" s="49"/>
      <c r="D21" s="49" t="s">
        <v>283</v>
      </c>
      <c r="E21" s="49"/>
      <c r="F21" s="50" t="s">
        <v>280</v>
      </c>
      <c r="G21" s="51" t="s">
        <v>274</v>
      </c>
      <c r="H21" s="42"/>
      <c r="I21" s="17" t="s">
        <v>276</v>
      </c>
    </row>
    <row r="22" spans="1:9" ht="15">
      <c r="A22" s="105"/>
      <c r="B22" s="52" t="s">
        <v>318</v>
      </c>
      <c r="C22" s="49"/>
      <c r="D22" s="49" t="s">
        <v>252</v>
      </c>
      <c r="E22" s="49"/>
      <c r="F22" s="50" t="s">
        <v>280</v>
      </c>
      <c r="G22" s="51" t="s">
        <v>274</v>
      </c>
      <c r="H22" s="42"/>
      <c r="I22" s="17" t="s">
        <v>276</v>
      </c>
    </row>
    <row r="23" spans="1:9" ht="15">
      <c r="A23" s="105"/>
      <c r="B23" s="48" t="s">
        <v>319</v>
      </c>
      <c r="C23" s="49"/>
      <c r="D23" s="49" t="s">
        <v>283</v>
      </c>
      <c r="E23" s="49" t="s">
        <v>320</v>
      </c>
      <c r="F23" s="50" t="s">
        <v>280</v>
      </c>
      <c r="G23" s="51" t="s">
        <v>274</v>
      </c>
      <c r="H23" s="42"/>
      <c r="I23" s="17" t="s">
        <v>276</v>
      </c>
    </row>
    <row r="24" spans="1:9" ht="15">
      <c r="A24" s="105"/>
      <c r="B24" s="48" t="s">
        <v>321</v>
      </c>
      <c r="C24" s="49"/>
      <c r="D24" s="49" t="s">
        <v>283</v>
      </c>
      <c r="E24" s="49" t="s">
        <v>320</v>
      </c>
      <c r="F24" s="50" t="s">
        <v>280</v>
      </c>
      <c r="G24" s="51" t="s">
        <v>274</v>
      </c>
      <c r="H24" s="42"/>
      <c r="I24" s="17" t="s">
        <v>276</v>
      </c>
    </row>
    <row r="25" spans="1:9" ht="15">
      <c r="A25" s="105"/>
      <c r="B25" s="48" t="s">
        <v>322</v>
      </c>
      <c r="C25" s="49"/>
      <c r="D25" s="49" t="s">
        <v>283</v>
      </c>
      <c r="E25" s="49"/>
      <c r="F25" s="50"/>
      <c r="G25" s="51" t="s">
        <v>274</v>
      </c>
      <c r="H25" s="42"/>
      <c r="I25" s="17" t="s">
        <v>276</v>
      </c>
    </row>
    <row r="26" spans="1:9" ht="15">
      <c r="A26" s="105"/>
      <c r="B26" s="48" t="s">
        <v>323</v>
      </c>
      <c r="C26" s="49"/>
      <c r="D26" s="49" t="s">
        <v>252</v>
      </c>
      <c r="E26" s="49"/>
      <c r="F26" s="50" t="s">
        <v>280</v>
      </c>
      <c r="G26" s="51" t="s">
        <v>274</v>
      </c>
      <c r="H26" s="42"/>
      <c r="I26" s="17" t="s">
        <v>276</v>
      </c>
    </row>
    <row r="27" spans="1:9" ht="15">
      <c r="A27" s="105"/>
      <c r="B27" s="48" t="s">
        <v>324</v>
      </c>
      <c r="C27" s="49"/>
      <c r="D27" s="49" t="s">
        <v>283</v>
      </c>
      <c r="E27" s="49" t="s">
        <v>320</v>
      </c>
      <c r="F27" s="50" t="s">
        <v>280</v>
      </c>
      <c r="G27" s="51" t="s">
        <v>274</v>
      </c>
      <c r="H27" s="42"/>
      <c r="I27" s="17" t="s">
        <v>276</v>
      </c>
    </row>
    <row r="28" spans="1:9" ht="15" hidden="1">
      <c r="A28" s="105"/>
      <c r="B28" s="52" t="s">
        <v>325</v>
      </c>
      <c r="C28" s="49"/>
      <c r="D28" s="49" t="s">
        <v>263</v>
      </c>
      <c r="E28" s="49" t="s">
        <v>326</v>
      </c>
      <c r="F28" s="50" t="s">
        <v>327</v>
      </c>
      <c r="G28" s="51" t="s">
        <v>292</v>
      </c>
      <c r="H28" s="42"/>
      <c r="I28" s="17" t="s">
        <v>255</v>
      </c>
    </row>
    <row r="29" spans="1:9" ht="15" hidden="1">
      <c r="A29" s="105"/>
      <c r="B29" s="52" t="s">
        <v>328</v>
      </c>
      <c r="C29" s="49"/>
      <c r="D29" s="49" t="s">
        <v>263</v>
      </c>
      <c r="E29" s="49" t="s">
        <v>326</v>
      </c>
      <c r="F29" s="50" t="s">
        <v>327</v>
      </c>
      <c r="G29" s="51" t="s">
        <v>292</v>
      </c>
      <c r="H29" s="42"/>
      <c r="I29" s="17" t="s">
        <v>255</v>
      </c>
    </row>
    <row r="30" spans="1:9" ht="24" hidden="1">
      <c r="A30" s="105"/>
      <c r="B30" s="48" t="s">
        <v>329</v>
      </c>
      <c r="C30" s="49"/>
      <c r="D30" s="49" t="s">
        <v>252</v>
      </c>
      <c r="E30" s="49"/>
      <c r="F30" s="50" t="s">
        <v>330</v>
      </c>
      <c r="G30" s="51" t="s">
        <v>292</v>
      </c>
      <c r="H30" s="42"/>
      <c r="I30" s="17" t="s">
        <v>255</v>
      </c>
    </row>
    <row r="31" spans="1:9" ht="24" hidden="1">
      <c r="A31" s="105"/>
      <c r="B31" s="52" t="s">
        <v>331</v>
      </c>
      <c r="C31" s="49" t="s">
        <v>332</v>
      </c>
      <c r="D31" s="49" t="s">
        <v>271</v>
      </c>
      <c r="E31" s="50" t="s">
        <v>333</v>
      </c>
      <c r="F31" s="50" t="s">
        <v>291</v>
      </c>
      <c r="G31" s="51" t="s">
        <v>292</v>
      </c>
      <c r="H31" s="42"/>
      <c r="I31" s="17" t="s">
        <v>255</v>
      </c>
    </row>
    <row r="32" spans="1:9" ht="48" hidden="1">
      <c r="A32" s="105"/>
      <c r="B32" s="48" t="s">
        <v>334</v>
      </c>
      <c r="C32" s="49"/>
      <c r="D32" s="49" t="s">
        <v>271</v>
      </c>
      <c r="E32" s="50" t="s">
        <v>335</v>
      </c>
      <c r="F32" s="50" t="s">
        <v>291</v>
      </c>
      <c r="G32" s="51" t="s">
        <v>292</v>
      </c>
      <c r="H32" s="42"/>
      <c r="I32" s="17" t="s">
        <v>255</v>
      </c>
    </row>
    <row r="33" spans="1:9" ht="36" hidden="1">
      <c r="A33" s="105"/>
      <c r="B33" s="48" t="s">
        <v>336</v>
      </c>
      <c r="C33" s="49"/>
      <c r="D33" s="49" t="s">
        <v>283</v>
      </c>
      <c r="E33" s="50" t="s">
        <v>337</v>
      </c>
      <c r="F33" s="50"/>
      <c r="G33" s="51" t="s">
        <v>292</v>
      </c>
      <c r="H33" s="42"/>
      <c r="I33" s="17" t="s">
        <v>255</v>
      </c>
    </row>
    <row r="34" spans="1:9" ht="24" hidden="1">
      <c r="A34" s="105"/>
      <c r="B34" s="52" t="s">
        <v>338</v>
      </c>
      <c r="C34" s="49"/>
      <c r="D34" s="49" t="s">
        <v>252</v>
      </c>
      <c r="E34" s="49" t="s">
        <v>339</v>
      </c>
      <c r="F34" s="50" t="s">
        <v>340</v>
      </c>
      <c r="G34" s="51"/>
      <c r="H34" s="42"/>
      <c r="I34" s="17" t="s">
        <v>255</v>
      </c>
    </row>
    <row r="35" spans="1:9" ht="15" hidden="1">
      <c r="A35" s="105"/>
      <c r="B35" s="52" t="s">
        <v>341</v>
      </c>
      <c r="C35" s="49"/>
      <c r="D35" s="49" t="s">
        <v>252</v>
      </c>
      <c r="E35" s="49" t="s">
        <v>342</v>
      </c>
      <c r="F35" s="50"/>
      <c r="G35" s="51"/>
      <c r="H35" s="42"/>
      <c r="I35" s="17" t="s">
        <v>255</v>
      </c>
    </row>
    <row r="36" spans="1:9" ht="15" hidden="1">
      <c r="A36" s="105"/>
      <c r="B36" s="52" t="s">
        <v>343</v>
      </c>
      <c r="C36" s="49"/>
      <c r="D36" s="49" t="s">
        <v>252</v>
      </c>
      <c r="E36" s="49" t="s">
        <v>342</v>
      </c>
      <c r="F36" s="50"/>
      <c r="G36" s="51"/>
      <c r="H36" s="42"/>
      <c r="I36" s="17" t="s">
        <v>255</v>
      </c>
    </row>
    <row r="37" spans="1:9" ht="15" hidden="1">
      <c r="A37" s="105"/>
      <c r="B37" s="52" t="s">
        <v>344</v>
      </c>
      <c r="C37" s="49"/>
      <c r="D37" s="49" t="s">
        <v>252</v>
      </c>
      <c r="E37" s="49" t="s">
        <v>342</v>
      </c>
      <c r="F37" s="50"/>
      <c r="G37" s="51"/>
      <c r="H37" s="42"/>
      <c r="I37" s="17" t="s">
        <v>255</v>
      </c>
    </row>
    <row r="38" spans="1:9" ht="15" hidden="1">
      <c r="A38" s="105"/>
      <c r="B38" s="52" t="s">
        <v>345</v>
      </c>
      <c r="C38" s="49"/>
      <c r="D38" s="49" t="s">
        <v>252</v>
      </c>
      <c r="E38" s="49" t="s">
        <v>342</v>
      </c>
      <c r="F38" s="50"/>
      <c r="G38" s="51"/>
      <c r="H38" s="42"/>
      <c r="I38" s="17" t="s">
        <v>255</v>
      </c>
    </row>
    <row r="39" spans="1:9" ht="15" hidden="1">
      <c r="A39" s="105"/>
      <c r="B39" s="52" t="s">
        <v>346</v>
      </c>
      <c r="C39" s="49"/>
      <c r="D39" s="49" t="s">
        <v>283</v>
      </c>
      <c r="E39" s="49"/>
      <c r="F39" s="50"/>
      <c r="G39" s="51"/>
      <c r="H39" s="42"/>
      <c r="I39" s="17" t="s">
        <v>255</v>
      </c>
    </row>
    <row r="40" spans="1:9" ht="24">
      <c r="A40" s="105"/>
      <c r="B40" s="52" t="s">
        <v>347</v>
      </c>
      <c r="C40" s="49"/>
      <c r="D40" s="49" t="s">
        <v>252</v>
      </c>
      <c r="E40" s="50" t="s">
        <v>348</v>
      </c>
      <c r="F40" s="50" t="s">
        <v>349</v>
      </c>
      <c r="G40" s="51" t="s">
        <v>274</v>
      </c>
      <c r="H40" s="42"/>
      <c r="I40" s="17" t="s">
        <v>276</v>
      </c>
    </row>
    <row r="41" spans="1:9" ht="15" hidden="1">
      <c r="A41" s="105"/>
      <c r="B41" s="52" t="s">
        <v>350</v>
      </c>
      <c r="C41" s="53" t="s">
        <v>351</v>
      </c>
      <c r="D41" s="49" t="s">
        <v>252</v>
      </c>
      <c r="E41" s="49" t="s">
        <v>352</v>
      </c>
      <c r="F41" s="50" t="s">
        <v>353</v>
      </c>
      <c r="G41" s="51" t="s">
        <v>292</v>
      </c>
      <c r="H41" s="42"/>
      <c r="I41" s="17" t="s">
        <v>255</v>
      </c>
    </row>
    <row r="42" spans="1:9" ht="15" hidden="1">
      <c r="A42" s="105"/>
      <c r="B42" s="48" t="s">
        <v>354</v>
      </c>
      <c r="C42" s="49"/>
      <c r="D42" s="49" t="s">
        <v>263</v>
      </c>
      <c r="E42" s="49" t="s">
        <v>355</v>
      </c>
      <c r="F42" s="50" t="s">
        <v>356</v>
      </c>
      <c r="G42" s="51" t="s">
        <v>357</v>
      </c>
      <c r="H42" s="42"/>
      <c r="I42" s="17" t="s">
        <v>255</v>
      </c>
    </row>
    <row r="43" spans="1:9" ht="15" hidden="1">
      <c r="A43" s="105"/>
      <c r="B43" s="48" t="s">
        <v>358</v>
      </c>
      <c r="C43" s="49"/>
      <c r="D43" s="49" t="s">
        <v>283</v>
      </c>
      <c r="E43" s="49" t="s">
        <v>320</v>
      </c>
      <c r="F43" s="50" t="s">
        <v>359</v>
      </c>
      <c r="G43" s="51" t="s">
        <v>292</v>
      </c>
      <c r="H43" s="42"/>
      <c r="I43" s="17" t="s">
        <v>255</v>
      </c>
    </row>
    <row r="44" spans="1:9" ht="24" hidden="1">
      <c r="A44" s="105"/>
      <c r="B44" s="52" t="s">
        <v>360</v>
      </c>
      <c r="C44" s="49" t="s">
        <v>361</v>
      </c>
      <c r="D44" s="49" t="s">
        <v>283</v>
      </c>
      <c r="E44" s="49"/>
      <c r="F44" s="50" t="s">
        <v>362</v>
      </c>
      <c r="G44" s="51" t="s">
        <v>292</v>
      </c>
      <c r="H44" s="42"/>
      <c r="I44" s="17" t="s">
        <v>255</v>
      </c>
    </row>
    <row r="45" spans="1:9" ht="15" hidden="1">
      <c r="A45" s="105"/>
      <c r="B45" s="48" t="s">
        <v>363</v>
      </c>
      <c r="C45" s="49"/>
      <c r="D45" s="49" t="s">
        <v>263</v>
      </c>
      <c r="E45" s="49"/>
      <c r="F45" s="50" t="s">
        <v>364</v>
      </c>
      <c r="G45" s="51" t="s">
        <v>357</v>
      </c>
      <c r="H45" s="42"/>
      <c r="I45" s="17" t="s">
        <v>255</v>
      </c>
    </row>
    <row r="46" spans="1:9" ht="36" hidden="1">
      <c r="A46" s="105"/>
      <c r="B46" s="52" t="s">
        <v>365</v>
      </c>
      <c r="C46" s="49"/>
      <c r="D46" s="49" t="s">
        <v>283</v>
      </c>
      <c r="E46" s="50" t="s">
        <v>366</v>
      </c>
      <c r="F46" s="50" t="s">
        <v>362</v>
      </c>
      <c r="G46" s="51" t="s">
        <v>292</v>
      </c>
      <c r="H46" s="42"/>
      <c r="I46" s="17" t="s">
        <v>255</v>
      </c>
    </row>
    <row r="47" spans="1:9" ht="15" hidden="1">
      <c r="A47" s="105" t="s">
        <v>367</v>
      </c>
      <c r="B47" s="52" t="s">
        <v>368</v>
      </c>
      <c r="C47" s="49" t="s">
        <v>369</v>
      </c>
      <c r="D47" s="49" t="s">
        <v>283</v>
      </c>
      <c r="E47" s="49"/>
      <c r="F47" s="50"/>
      <c r="G47" s="51" t="s">
        <v>292</v>
      </c>
      <c r="H47" s="42"/>
      <c r="I47" s="17" t="s">
        <v>255</v>
      </c>
    </row>
    <row r="48" spans="1:9" ht="15" hidden="1">
      <c r="A48" s="105"/>
      <c r="B48" s="52" t="s">
        <v>370</v>
      </c>
      <c r="C48" s="49"/>
      <c r="D48" s="49" t="s">
        <v>283</v>
      </c>
      <c r="E48" s="49" t="s">
        <v>320</v>
      </c>
      <c r="F48" s="50"/>
      <c r="G48" s="51" t="s">
        <v>292</v>
      </c>
      <c r="H48" s="42"/>
      <c r="I48" s="17" t="s">
        <v>255</v>
      </c>
    </row>
    <row r="49" spans="1:9" ht="15" hidden="1">
      <c r="A49" s="105"/>
      <c r="B49" s="54" t="s">
        <v>371</v>
      </c>
      <c r="C49" s="49"/>
      <c r="D49" s="49" t="s">
        <v>283</v>
      </c>
      <c r="E49" s="49" t="s">
        <v>320</v>
      </c>
      <c r="F49" s="50"/>
      <c r="G49" s="51" t="s">
        <v>292</v>
      </c>
      <c r="H49" s="42"/>
      <c r="I49" s="17" t="s">
        <v>255</v>
      </c>
    </row>
    <row r="50" spans="1:9" ht="15" hidden="1">
      <c r="A50" s="105"/>
      <c r="B50" s="52" t="s">
        <v>372</v>
      </c>
      <c r="C50" s="49"/>
      <c r="D50" s="49" t="s">
        <v>252</v>
      </c>
      <c r="E50" s="49"/>
      <c r="F50" s="50"/>
      <c r="G50" s="51" t="s">
        <v>292</v>
      </c>
      <c r="H50" s="42"/>
      <c r="I50" s="17" t="s">
        <v>255</v>
      </c>
    </row>
    <row r="51" spans="1:9" ht="15" hidden="1">
      <c r="A51" s="105"/>
      <c r="B51" s="50" t="s">
        <v>373</v>
      </c>
      <c r="C51" s="49"/>
      <c r="D51" s="49"/>
      <c r="E51" s="49"/>
      <c r="F51" s="50" t="s">
        <v>374</v>
      </c>
      <c r="G51" s="51"/>
      <c r="H51" s="42"/>
      <c r="I51" s="17" t="s">
        <v>255</v>
      </c>
    </row>
    <row r="52" spans="1:9" ht="48">
      <c r="A52" s="105" t="s">
        <v>375</v>
      </c>
      <c r="B52" s="50" t="s">
        <v>376</v>
      </c>
      <c r="C52" s="49"/>
      <c r="D52" s="49" t="s">
        <v>377</v>
      </c>
      <c r="E52" s="50" t="s">
        <v>378</v>
      </c>
      <c r="F52" s="50"/>
      <c r="G52" s="51" t="s">
        <v>274</v>
      </c>
      <c r="H52" s="42"/>
      <c r="I52" s="17" t="s">
        <v>276</v>
      </c>
    </row>
    <row r="53" spans="1:9" ht="24" hidden="1">
      <c r="A53" s="105" t="s">
        <v>379</v>
      </c>
      <c r="B53" s="49" t="s">
        <v>380</v>
      </c>
      <c r="C53" s="49"/>
      <c r="D53" s="49" t="s">
        <v>283</v>
      </c>
      <c r="E53" s="49"/>
      <c r="F53" s="50" t="s">
        <v>381</v>
      </c>
      <c r="G53" s="51" t="s">
        <v>292</v>
      </c>
      <c r="H53" s="42"/>
      <c r="I53" s="17" t="s">
        <v>255</v>
      </c>
    </row>
    <row r="54" spans="1:9" ht="24">
      <c r="A54" s="105" t="s">
        <v>382</v>
      </c>
      <c r="B54" s="49"/>
      <c r="C54" s="49"/>
      <c r="D54" s="49" t="s">
        <v>271</v>
      </c>
      <c r="E54" s="49" t="s">
        <v>383</v>
      </c>
      <c r="F54" s="50" t="s">
        <v>384</v>
      </c>
      <c r="G54" s="51" t="s">
        <v>274</v>
      </c>
      <c r="H54" s="42"/>
      <c r="I54" s="17" t="s">
        <v>276</v>
      </c>
    </row>
    <row r="55" spans="1:9" ht="24" hidden="1">
      <c r="A55" s="105" t="s">
        <v>385</v>
      </c>
      <c r="B55" s="49" t="s">
        <v>386</v>
      </c>
      <c r="C55" s="49"/>
      <c r="D55" s="49" t="s">
        <v>271</v>
      </c>
      <c r="E55" s="49" t="s">
        <v>387</v>
      </c>
      <c r="F55" s="50" t="s">
        <v>388</v>
      </c>
      <c r="G55" s="51" t="s">
        <v>292</v>
      </c>
      <c r="H55" s="42"/>
      <c r="I55" s="17" t="s">
        <v>255</v>
      </c>
    </row>
    <row r="56" spans="1:9" ht="15">
      <c r="A56" s="105" t="s">
        <v>389</v>
      </c>
      <c r="B56" s="49"/>
      <c r="C56" s="49"/>
      <c r="D56" s="49" t="s">
        <v>271</v>
      </c>
      <c r="E56" s="49" t="s">
        <v>390</v>
      </c>
      <c r="F56" s="50"/>
      <c r="G56" s="51" t="s">
        <v>274</v>
      </c>
      <c r="H56" s="42"/>
      <c r="I56" s="17" t="s">
        <v>276</v>
      </c>
    </row>
    <row r="57" spans="1:9" ht="24" hidden="1">
      <c r="A57" s="105" t="s">
        <v>391</v>
      </c>
      <c r="B57" s="49"/>
      <c r="C57" s="49"/>
      <c r="D57" s="49" t="s">
        <v>377</v>
      </c>
      <c r="E57" s="50" t="s">
        <v>392</v>
      </c>
      <c r="F57" s="50"/>
      <c r="G57" s="51" t="s">
        <v>292</v>
      </c>
      <c r="H57" s="42"/>
      <c r="I57" s="17" t="s">
        <v>255</v>
      </c>
    </row>
    <row r="58" spans="1:9" ht="15" hidden="1">
      <c r="A58" s="105" t="s">
        <v>393</v>
      </c>
      <c r="B58" s="49"/>
      <c r="C58" s="49"/>
      <c r="D58" s="49" t="s">
        <v>377</v>
      </c>
      <c r="E58" s="49"/>
      <c r="F58" s="50"/>
      <c r="G58" s="51" t="s">
        <v>292</v>
      </c>
      <c r="H58" s="42"/>
      <c r="I58" s="17" t="s">
        <v>255</v>
      </c>
    </row>
    <row r="59" spans="1:9" ht="15" hidden="1">
      <c r="A59" s="105" t="s">
        <v>394</v>
      </c>
      <c r="B59" s="49"/>
      <c r="C59" s="49"/>
      <c r="D59" s="49"/>
      <c r="E59" s="49"/>
      <c r="F59" s="50" t="s">
        <v>374</v>
      </c>
      <c r="G59" s="51"/>
      <c r="H59" s="42"/>
      <c r="I59" s="17" t="s">
        <v>255</v>
      </c>
    </row>
    <row r="60" spans="1:9" ht="24" hidden="1">
      <c r="A60" s="105" t="s">
        <v>395</v>
      </c>
      <c r="B60" s="49"/>
      <c r="C60" s="49"/>
      <c r="D60" s="49" t="s">
        <v>283</v>
      </c>
      <c r="E60" s="50" t="s">
        <v>396</v>
      </c>
      <c r="F60" s="50" t="s">
        <v>397</v>
      </c>
      <c r="G60" s="51" t="s">
        <v>292</v>
      </c>
      <c r="H60" s="42"/>
      <c r="I60" s="17" t="s">
        <v>255</v>
      </c>
    </row>
    <row r="61" spans="1:9" ht="15" hidden="1">
      <c r="A61" s="105" t="s">
        <v>398</v>
      </c>
      <c r="B61" s="49"/>
      <c r="C61" s="49"/>
      <c r="D61" s="49"/>
      <c r="E61" s="49"/>
      <c r="F61" s="50"/>
      <c r="G61" s="51" t="s">
        <v>292</v>
      </c>
      <c r="H61" s="42"/>
      <c r="I61" s="17" t="s">
        <v>255</v>
      </c>
    </row>
    <row r="62" spans="1:9" ht="24" hidden="1">
      <c r="A62" s="105" t="s">
        <v>399</v>
      </c>
      <c r="B62" s="49" t="s">
        <v>400</v>
      </c>
      <c r="C62" s="49"/>
      <c r="D62" s="49" t="s">
        <v>283</v>
      </c>
      <c r="E62" s="50" t="s">
        <v>284</v>
      </c>
      <c r="F62" s="50"/>
      <c r="G62" s="51" t="s">
        <v>292</v>
      </c>
      <c r="H62" s="42"/>
      <c r="I62" s="17" t="s">
        <v>255</v>
      </c>
    </row>
    <row r="63" spans="1:9" ht="15" hidden="1">
      <c r="A63" s="105"/>
      <c r="B63" s="55" t="s">
        <v>401</v>
      </c>
      <c r="C63" s="49"/>
      <c r="D63" s="49" t="s">
        <v>283</v>
      </c>
      <c r="E63" s="56"/>
      <c r="F63" s="50"/>
      <c r="G63" s="51"/>
      <c r="H63" s="42"/>
      <c r="I63" s="17" t="s">
        <v>255</v>
      </c>
    </row>
    <row r="64" spans="1:9" ht="15" hidden="1">
      <c r="A64" s="105"/>
      <c r="B64" s="55" t="s">
        <v>402</v>
      </c>
      <c r="C64" s="49"/>
      <c r="D64" s="49" t="s">
        <v>283</v>
      </c>
      <c r="E64" s="49" t="s">
        <v>320</v>
      </c>
      <c r="F64" s="50"/>
      <c r="G64" s="51"/>
      <c r="H64" s="42"/>
      <c r="I64" s="17" t="s">
        <v>255</v>
      </c>
    </row>
    <row r="65" spans="1:9" ht="24" hidden="1">
      <c r="A65" s="105"/>
      <c r="B65" s="55" t="s">
        <v>403</v>
      </c>
      <c r="C65" s="49"/>
      <c r="D65" s="49" t="s">
        <v>252</v>
      </c>
      <c r="E65" s="49"/>
      <c r="F65" s="50"/>
      <c r="G65" s="51"/>
      <c r="H65" s="42"/>
      <c r="I65" s="17" t="s">
        <v>255</v>
      </c>
    </row>
    <row r="66" spans="1:9" ht="15" hidden="1">
      <c r="A66" s="105"/>
      <c r="B66" s="55" t="s">
        <v>404</v>
      </c>
      <c r="C66" s="49"/>
      <c r="D66" s="49" t="s">
        <v>283</v>
      </c>
      <c r="E66" s="49"/>
      <c r="F66" s="50"/>
      <c r="G66" s="51"/>
      <c r="H66" s="42"/>
      <c r="I66" s="17" t="s">
        <v>255</v>
      </c>
    </row>
    <row r="67" spans="1:9" ht="15" hidden="1">
      <c r="A67" s="105"/>
      <c r="B67" s="55" t="s">
        <v>405</v>
      </c>
      <c r="C67" s="49"/>
      <c r="D67" s="49" t="s">
        <v>283</v>
      </c>
      <c r="E67" s="49"/>
      <c r="F67" s="50"/>
      <c r="G67" s="51"/>
      <c r="H67" s="42"/>
      <c r="I67" s="17" t="s">
        <v>255</v>
      </c>
    </row>
    <row r="68" spans="1:9" ht="15" hidden="1">
      <c r="A68" s="105"/>
      <c r="B68" s="54" t="s">
        <v>406</v>
      </c>
      <c r="C68" s="49"/>
      <c r="D68" s="49" t="s">
        <v>283</v>
      </c>
      <c r="E68" s="49"/>
      <c r="F68" s="50"/>
      <c r="G68" s="51"/>
      <c r="H68" s="42"/>
      <c r="I68" s="17" t="s">
        <v>255</v>
      </c>
    </row>
    <row r="69" spans="1:9" ht="15" hidden="1">
      <c r="A69" s="105"/>
      <c r="B69" s="55" t="s">
        <v>407</v>
      </c>
      <c r="C69" s="49"/>
      <c r="D69" s="49" t="s">
        <v>283</v>
      </c>
      <c r="E69" s="49"/>
      <c r="F69" s="50"/>
      <c r="G69" s="51"/>
      <c r="H69" s="42"/>
      <c r="I69" s="17" t="s">
        <v>255</v>
      </c>
    </row>
    <row r="70" spans="1:9" ht="15" hidden="1">
      <c r="A70" s="105"/>
      <c r="B70" s="55" t="s">
        <v>408</v>
      </c>
      <c r="C70" s="49"/>
      <c r="D70" s="49" t="s">
        <v>283</v>
      </c>
      <c r="E70" s="49"/>
      <c r="F70" s="50"/>
      <c r="G70" s="51"/>
      <c r="H70" s="42"/>
      <c r="I70" s="17" t="s">
        <v>255</v>
      </c>
    </row>
    <row r="71" spans="1:9" ht="15" hidden="1">
      <c r="A71" s="105"/>
      <c r="B71" s="55" t="s">
        <v>409</v>
      </c>
      <c r="C71" s="49"/>
      <c r="D71" s="49" t="s">
        <v>283</v>
      </c>
      <c r="E71" s="49"/>
      <c r="F71" s="50"/>
      <c r="G71" s="51"/>
      <c r="H71" s="42"/>
      <c r="I71" s="17" t="s">
        <v>255</v>
      </c>
    </row>
    <row r="72" spans="1:9" ht="15" hidden="1">
      <c r="A72" s="105"/>
      <c r="B72" s="55" t="s">
        <v>410</v>
      </c>
      <c r="C72" s="49"/>
      <c r="D72" s="49" t="s">
        <v>283</v>
      </c>
      <c r="E72" s="49" t="s">
        <v>320</v>
      </c>
      <c r="F72" s="50"/>
      <c r="G72" s="51"/>
      <c r="H72" s="42"/>
      <c r="I72" s="17" t="s">
        <v>255</v>
      </c>
    </row>
    <row r="73" spans="1:9" ht="24" hidden="1">
      <c r="A73" s="105"/>
      <c r="B73" s="55" t="s">
        <v>411</v>
      </c>
      <c r="C73" s="49"/>
      <c r="D73" s="49" t="s">
        <v>271</v>
      </c>
      <c r="E73" s="49"/>
      <c r="F73" s="50"/>
      <c r="G73" s="51"/>
      <c r="H73" s="42"/>
      <c r="I73" s="17" t="s">
        <v>255</v>
      </c>
    </row>
    <row r="74" spans="1:9" ht="24" hidden="1">
      <c r="A74" s="105"/>
      <c r="B74" s="55" t="s">
        <v>412</v>
      </c>
      <c r="C74" s="49"/>
      <c r="D74" s="49" t="s">
        <v>271</v>
      </c>
      <c r="E74" s="49" t="s">
        <v>413</v>
      </c>
      <c r="F74" s="50"/>
      <c r="G74" s="51"/>
      <c r="H74" s="42"/>
      <c r="I74" s="17" t="s">
        <v>255</v>
      </c>
    </row>
    <row r="75" spans="1:9" ht="15" hidden="1">
      <c r="A75" s="105"/>
      <c r="B75" s="55" t="s">
        <v>414</v>
      </c>
      <c r="C75" s="49"/>
      <c r="D75" s="49" t="s">
        <v>252</v>
      </c>
      <c r="E75" s="49"/>
      <c r="F75" s="50"/>
      <c r="G75" s="51"/>
      <c r="H75" s="42"/>
      <c r="I75" s="17" t="s">
        <v>255</v>
      </c>
    </row>
    <row r="76" spans="1:9" ht="15" hidden="1">
      <c r="A76" s="105"/>
      <c r="B76" s="55" t="s">
        <v>415</v>
      </c>
      <c r="C76" s="49"/>
      <c r="D76" s="49" t="s">
        <v>252</v>
      </c>
      <c r="E76" s="49"/>
      <c r="F76" s="50"/>
      <c r="G76" s="51"/>
      <c r="H76" s="42"/>
      <c r="I76" s="17" t="s">
        <v>255</v>
      </c>
    </row>
    <row r="77" spans="1:9" ht="15" hidden="1">
      <c r="A77" s="105"/>
      <c r="B77" s="55" t="s">
        <v>416</v>
      </c>
      <c r="C77" s="49"/>
      <c r="D77" s="49" t="s">
        <v>283</v>
      </c>
      <c r="E77" s="49" t="s">
        <v>320</v>
      </c>
      <c r="F77" s="50"/>
      <c r="G77" s="51"/>
      <c r="H77" s="42"/>
      <c r="I77" s="17" t="s">
        <v>255</v>
      </c>
    </row>
    <row r="78" spans="1:9" ht="24" hidden="1">
      <c r="A78" s="105"/>
      <c r="B78" s="55" t="s">
        <v>417</v>
      </c>
      <c r="C78" s="49"/>
      <c r="D78" s="49" t="s">
        <v>283</v>
      </c>
      <c r="E78" s="50" t="s">
        <v>284</v>
      </c>
      <c r="F78" s="50"/>
      <c r="G78" s="51"/>
      <c r="H78" s="42"/>
      <c r="I78" s="17" t="s">
        <v>255</v>
      </c>
    </row>
    <row r="79" spans="1:9" ht="15" hidden="1">
      <c r="A79" s="105"/>
      <c r="B79" s="55" t="s">
        <v>418</v>
      </c>
      <c r="C79" s="49"/>
      <c r="D79" s="49" t="s">
        <v>252</v>
      </c>
      <c r="E79" s="49"/>
      <c r="F79" s="50"/>
      <c r="G79" s="51"/>
      <c r="H79" s="42"/>
      <c r="I79" s="17" t="s">
        <v>255</v>
      </c>
    </row>
    <row r="80" spans="1:9" ht="15" hidden="1">
      <c r="A80" s="105"/>
      <c r="B80" s="55" t="s">
        <v>419</v>
      </c>
      <c r="C80" s="49"/>
      <c r="D80" s="49" t="s">
        <v>283</v>
      </c>
      <c r="E80" s="49"/>
      <c r="F80" s="50"/>
      <c r="G80" s="51"/>
      <c r="H80" s="42"/>
      <c r="I80" s="17" t="s">
        <v>255</v>
      </c>
    </row>
    <row r="81" spans="1:9" ht="24" hidden="1">
      <c r="A81" s="105"/>
      <c r="B81" s="55" t="s">
        <v>420</v>
      </c>
      <c r="C81" s="49"/>
      <c r="D81" s="49" t="s">
        <v>252</v>
      </c>
      <c r="E81" s="49"/>
      <c r="F81" s="50"/>
      <c r="G81" s="51"/>
      <c r="H81" s="42"/>
      <c r="I81" s="17" t="s">
        <v>255</v>
      </c>
    </row>
    <row r="82" spans="1:9" ht="24" hidden="1">
      <c r="A82" s="105"/>
      <c r="B82" s="55" t="s">
        <v>421</v>
      </c>
      <c r="C82" s="49"/>
      <c r="D82" s="49" t="s">
        <v>252</v>
      </c>
      <c r="E82" s="49"/>
      <c r="F82" s="50"/>
      <c r="G82" s="51"/>
      <c r="H82" s="42"/>
      <c r="I82" s="17" t="s">
        <v>255</v>
      </c>
    </row>
    <row r="83" spans="1:9" ht="15" hidden="1">
      <c r="A83" s="105"/>
      <c r="B83" s="55" t="s">
        <v>422</v>
      </c>
      <c r="C83" s="49"/>
      <c r="D83" s="49" t="s">
        <v>252</v>
      </c>
      <c r="E83" s="49"/>
      <c r="F83" s="50"/>
      <c r="G83" s="51"/>
      <c r="H83" s="42"/>
      <c r="I83" s="17" t="s">
        <v>255</v>
      </c>
    </row>
    <row r="84" spans="1:9" ht="15" hidden="1">
      <c r="A84" s="105"/>
      <c r="B84" s="55" t="s">
        <v>423</v>
      </c>
      <c r="C84" s="49"/>
      <c r="D84" s="49" t="s">
        <v>283</v>
      </c>
      <c r="E84" s="49" t="s">
        <v>320</v>
      </c>
      <c r="F84" s="50"/>
      <c r="G84" s="51"/>
      <c r="H84" s="42"/>
      <c r="I84" s="17" t="s">
        <v>255</v>
      </c>
    </row>
    <row r="85" spans="1:9" ht="15" hidden="1">
      <c r="A85" s="105"/>
      <c r="B85" s="55" t="s">
        <v>424</v>
      </c>
      <c r="C85" s="49"/>
      <c r="D85" s="49" t="s">
        <v>252</v>
      </c>
      <c r="E85" s="49"/>
      <c r="F85" s="50"/>
      <c r="G85" s="51"/>
      <c r="H85" s="42"/>
      <c r="I85" s="17" t="s">
        <v>255</v>
      </c>
    </row>
    <row r="86" spans="1:9" ht="15" hidden="1">
      <c r="A86" s="105"/>
      <c r="B86" s="55" t="s">
        <v>425</v>
      </c>
      <c r="C86" s="49"/>
      <c r="D86" s="49" t="s">
        <v>283</v>
      </c>
      <c r="E86" s="49" t="s">
        <v>320</v>
      </c>
      <c r="F86" s="50"/>
      <c r="G86" s="51"/>
      <c r="H86" s="42"/>
      <c r="I86" s="17" t="s">
        <v>255</v>
      </c>
    </row>
    <row r="87" spans="1:9" ht="15" hidden="1">
      <c r="A87" s="105"/>
      <c r="B87" s="54" t="s">
        <v>426</v>
      </c>
      <c r="C87" s="49"/>
      <c r="D87" s="49" t="s">
        <v>283</v>
      </c>
      <c r="E87" s="49" t="s">
        <v>320</v>
      </c>
      <c r="F87" s="50"/>
      <c r="G87" s="51"/>
      <c r="H87" s="42"/>
      <c r="I87" s="17" t="s">
        <v>255</v>
      </c>
    </row>
    <row r="88" spans="1:9" ht="15" hidden="1">
      <c r="A88" s="105"/>
      <c r="B88" s="55" t="s">
        <v>427</v>
      </c>
      <c r="C88" s="49"/>
      <c r="D88" s="49" t="s">
        <v>283</v>
      </c>
      <c r="E88" s="49" t="s">
        <v>320</v>
      </c>
      <c r="F88" s="50"/>
      <c r="G88" s="51"/>
      <c r="H88" s="42"/>
      <c r="I88" s="17" t="s">
        <v>255</v>
      </c>
    </row>
    <row r="89" spans="1:9" ht="15" hidden="1">
      <c r="A89" s="105"/>
      <c r="B89" s="55" t="s">
        <v>428</v>
      </c>
      <c r="C89" s="49"/>
      <c r="D89" s="49" t="s">
        <v>252</v>
      </c>
      <c r="E89" s="49"/>
      <c r="F89" s="50"/>
      <c r="G89" s="51"/>
      <c r="H89" s="42"/>
      <c r="I89" s="17" t="s">
        <v>255</v>
      </c>
    </row>
    <row r="90" spans="1:9" ht="15" hidden="1">
      <c r="A90" s="105"/>
      <c r="B90" s="55" t="s">
        <v>429</v>
      </c>
      <c r="C90" s="49"/>
      <c r="D90" s="49" t="s">
        <v>283</v>
      </c>
      <c r="E90" s="49"/>
      <c r="F90" s="50"/>
      <c r="G90" s="51"/>
      <c r="H90" s="42"/>
      <c r="I90" s="17" t="s">
        <v>255</v>
      </c>
    </row>
    <row r="91" spans="1:9" ht="15" hidden="1">
      <c r="A91" s="105"/>
      <c r="B91" s="54" t="s">
        <v>430</v>
      </c>
      <c r="C91" s="49"/>
      <c r="D91" s="49" t="s">
        <v>283</v>
      </c>
      <c r="E91" s="49" t="s">
        <v>320</v>
      </c>
      <c r="F91" s="50"/>
      <c r="G91" s="51"/>
      <c r="H91" s="42"/>
      <c r="I91" s="17" t="s">
        <v>255</v>
      </c>
    </row>
    <row r="92" spans="1:9" ht="15" hidden="1">
      <c r="A92" s="105"/>
      <c r="B92" s="54" t="s">
        <v>431</v>
      </c>
      <c r="C92" s="49"/>
      <c r="D92" s="49" t="s">
        <v>252</v>
      </c>
      <c r="E92" s="49"/>
      <c r="F92" s="50"/>
      <c r="G92" s="51"/>
      <c r="H92" s="42"/>
      <c r="I92" s="17" t="s">
        <v>255</v>
      </c>
    </row>
    <row r="93" spans="1:9" ht="15" hidden="1">
      <c r="A93" s="105" t="s">
        <v>432</v>
      </c>
      <c r="B93" s="49"/>
      <c r="C93" s="49"/>
      <c r="D93" s="49"/>
      <c r="E93" s="49"/>
      <c r="F93" s="50"/>
      <c r="G93" s="51"/>
      <c r="H93" s="42"/>
      <c r="I93" s="17" t="s">
        <v>255</v>
      </c>
    </row>
    <row r="94" spans="1:9" ht="15" hidden="1">
      <c r="A94" s="105" t="s">
        <v>433</v>
      </c>
      <c r="B94" s="49"/>
      <c r="C94" s="49"/>
      <c r="D94" s="49"/>
      <c r="E94" s="49"/>
      <c r="F94" s="50"/>
      <c r="G94" s="51"/>
      <c r="H94" s="42"/>
      <c r="I94" s="17" t="s">
        <v>255</v>
      </c>
    </row>
    <row r="95" spans="1:9" ht="15" hidden="1">
      <c r="A95" s="105" t="s">
        <v>434</v>
      </c>
      <c r="B95" s="49"/>
      <c r="C95" s="49"/>
      <c r="D95" s="49"/>
      <c r="E95" s="49"/>
      <c r="F95" s="50"/>
      <c r="G95" s="51"/>
      <c r="H95" s="42"/>
      <c r="I95" s="17" t="s">
        <v>255</v>
      </c>
    </row>
    <row r="96" spans="1:9" ht="15" hidden="1">
      <c r="A96" s="105" t="s">
        <v>435</v>
      </c>
      <c r="B96" s="49"/>
      <c r="C96" s="49"/>
      <c r="D96" s="49"/>
      <c r="E96" s="49"/>
      <c r="F96" s="50"/>
      <c r="G96" s="51"/>
      <c r="H96" s="42"/>
      <c r="I96" s="17" t="s">
        <v>255</v>
      </c>
    </row>
    <row r="97" spans="1:9" ht="15" hidden="1">
      <c r="A97" s="106" t="s">
        <v>436</v>
      </c>
      <c r="B97" s="57"/>
      <c r="C97" s="56"/>
      <c r="D97" s="56"/>
      <c r="E97" s="56"/>
      <c r="F97" s="50"/>
      <c r="G97" s="58"/>
      <c r="I97" s="17" t="s">
        <v>255</v>
      </c>
    </row>
    <row r="98" spans="1:9">
      <c r="A98" s="56"/>
      <c r="B98" s="57"/>
      <c r="C98" s="56"/>
      <c r="D98" s="56"/>
      <c r="E98" s="56"/>
      <c r="F98" s="50"/>
      <c r="G98" s="58"/>
    </row>
    <row r="99" spans="1:9">
      <c r="A99" s="56"/>
      <c r="B99" s="57"/>
      <c r="C99" s="56"/>
      <c r="D99" s="56"/>
      <c r="E99" s="56"/>
      <c r="F99" s="50"/>
      <c r="G99" s="58"/>
    </row>
    <row r="100" spans="1:9">
      <c r="A100" s="56"/>
      <c r="B100" s="57" t="s">
        <v>437</v>
      </c>
      <c r="C100" s="56"/>
      <c r="D100" s="56"/>
      <c r="E100" s="56"/>
      <c r="F100" s="50"/>
      <c r="G100" s="58"/>
    </row>
    <row r="101" spans="1:9">
      <c r="A101" s="56"/>
      <c r="B101" s="57"/>
      <c r="C101" s="56"/>
      <c r="D101" s="56"/>
      <c r="E101" s="56"/>
      <c r="F101" s="50"/>
      <c r="G101" s="58"/>
    </row>
    <row r="102" spans="1:9">
      <c r="A102" s="59"/>
      <c r="B102" s="60"/>
      <c r="C102" s="59"/>
      <c r="D102" s="59"/>
      <c r="E102" s="59"/>
      <c r="F102" s="61"/>
    </row>
    <row r="103" spans="1:9">
      <c r="A103" s="62"/>
      <c r="B103" s="63"/>
      <c r="C103" s="62"/>
      <c r="D103" s="62"/>
      <c r="E103" s="62"/>
      <c r="F103" s="64"/>
    </row>
    <row r="104" spans="1:9">
      <c r="A104" s="62"/>
      <c r="B104" s="63"/>
      <c r="C104" s="62"/>
      <c r="D104" s="62"/>
      <c r="E104" s="62"/>
      <c r="F104" s="64"/>
    </row>
    <row r="105" spans="1:9">
      <c r="A105" s="62"/>
      <c r="B105" s="63"/>
      <c r="C105" s="62"/>
      <c r="D105" s="62"/>
      <c r="E105" s="62"/>
      <c r="F105" s="64"/>
    </row>
  </sheetData>
  <conditionalFormatting sqref="I3:I97">
    <cfRule type="expression" dxfId="11" priority="1">
      <formula>$I3="Yes"</formula>
    </cfRule>
  </conditionalFormatting>
  <conditionalFormatting sqref="I3:I97">
    <cfRule type="expression" dxfId="10" priority="2">
      <formula>$I3="No"</formula>
    </cfRule>
  </conditionalFormatting>
  <dataValidations count="2">
    <dataValidation type="list" allowBlank="1" showInputMessage="1" showErrorMessage="1" sqref="D3:D100" xr:uid="{4A69D7B8-C107-4CD5-B838-4DCA3B6DC658}">
      <formula1>"Pick-list,manual entry,automatic entry,copied from source,look up list,referenced data object"</formula1>
    </dataValidation>
    <dataValidation type="list" allowBlank="1" showInputMessage="1" showErrorMessage="1" sqref="I3:I97" xr:uid="{4A08D6E1-5BB0-4EA0-92EE-40D3999B94C5}">
      <formula1>"Yes,No"</formula1>
    </dataValidation>
  </dataValidations>
  <hyperlinks>
    <hyperlink ref="C41" r:id="rId1" xr:uid="{FFAB6E11-5A86-41B1-AA93-78CAB68A959D}"/>
  </hyperlinks>
  <pageMargins left="0.7" right="0.7" top="0.78740157499999996" bottom="0.78740157499999996" header="0.3" footer="0.3"/>
  <pageSetup orientation="portrait" r:id="rId2"/>
  <headerFooter>
    <oddFooter>&amp;R_x000D_&amp;1#&amp;"Aptos"&amp;22&amp;KFF8939 RESTRICTED</oddFooter>
  </headerFooter>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85010-C766-4BD1-8CDD-EB178A4EE85B}">
  <dimension ref="A1:H115"/>
  <sheetViews>
    <sheetView topLeftCell="A61" workbookViewId="0">
      <selection activeCell="B106" sqref="B106"/>
    </sheetView>
  </sheetViews>
  <sheetFormatPr defaultColWidth="11.42578125" defaultRowHeight="14.45"/>
  <cols>
    <col min="1" max="1" width="36.28515625" bestFit="1" customWidth="1"/>
    <col min="2" max="2" width="96" bestFit="1" customWidth="1"/>
    <col min="3" max="3" width="38.140625" customWidth="1"/>
    <col min="4" max="4" width="47.5703125" customWidth="1"/>
    <col min="5" max="5" width="57.140625" customWidth="1"/>
    <col min="6" max="6" width="19" customWidth="1"/>
  </cols>
  <sheetData>
    <row r="1" spans="1:8" ht="24.95" customHeight="1">
      <c r="A1" s="132" t="s">
        <v>438</v>
      </c>
      <c r="B1" s="132"/>
      <c r="C1" s="132"/>
      <c r="D1" s="132"/>
      <c r="E1" s="132"/>
      <c r="F1" s="132"/>
      <c r="G1" s="132"/>
      <c r="H1" s="132"/>
    </row>
    <row r="2" spans="1:8" ht="18" customHeight="1">
      <c r="A2" s="133" t="s">
        <v>439</v>
      </c>
      <c r="B2" s="133"/>
      <c r="C2" s="133"/>
      <c r="D2" s="133"/>
      <c r="E2" s="133"/>
      <c r="F2" s="133"/>
      <c r="G2" s="133"/>
      <c r="H2" s="133"/>
    </row>
    <row r="3" spans="1:8" ht="18" customHeight="1"/>
    <row r="4" spans="1:8" ht="18" customHeight="1">
      <c r="A4" s="134" t="s">
        <v>440</v>
      </c>
      <c r="B4" s="134"/>
      <c r="C4" s="134"/>
      <c r="D4" s="134"/>
      <c r="E4" s="134"/>
      <c r="F4" s="134"/>
      <c r="G4" s="134"/>
      <c r="H4" s="134"/>
    </row>
    <row r="5" spans="1:8" ht="18" customHeight="1">
      <c r="A5" s="76" t="s">
        <v>441</v>
      </c>
      <c r="B5" s="76" t="s">
        <v>442</v>
      </c>
      <c r="C5" s="76" t="s">
        <v>443</v>
      </c>
    </row>
    <row r="6" spans="1:8" ht="18" customHeight="1">
      <c r="A6" t="s">
        <v>444</v>
      </c>
      <c r="B6">
        <v>62</v>
      </c>
    </row>
    <row r="7" spans="1:8" ht="18" customHeight="1">
      <c r="A7" t="s">
        <v>445</v>
      </c>
      <c r="B7">
        <v>10</v>
      </c>
      <c r="C7" t="s">
        <v>446</v>
      </c>
    </row>
    <row r="8" spans="1:8" ht="18" customHeight="1">
      <c r="A8" t="s">
        <v>447</v>
      </c>
      <c r="B8" t="s">
        <v>448</v>
      </c>
      <c r="C8" t="s">
        <v>449</v>
      </c>
    </row>
    <row r="9" spans="1:8" ht="18" customHeight="1">
      <c r="A9" t="s">
        <v>450</v>
      </c>
      <c r="B9" t="s">
        <v>451</v>
      </c>
      <c r="C9" t="s">
        <v>452</v>
      </c>
    </row>
    <row r="10" spans="1:8" ht="18" customHeight="1">
      <c r="A10" t="s">
        <v>453</v>
      </c>
      <c r="B10">
        <v>4</v>
      </c>
      <c r="C10" t="s">
        <v>454</v>
      </c>
    </row>
    <row r="11" spans="1:8" ht="18" customHeight="1">
      <c r="A11" t="s">
        <v>455</v>
      </c>
      <c r="B11">
        <v>8</v>
      </c>
      <c r="C11" t="s">
        <v>456</v>
      </c>
    </row>
    <row r="12" spans="1:8" ht="18" customHeight="1">
      <c r="A12" t="s">
        <v>457</v>
      </c>
      <c r="B12">
        <v>1</v>
      </c>
      <c r="C12" t="s">
        <v>458</v>
      </c>
    </row>
    <row r="13" spans="1:8" ht="18" customHeight="1">
      <c r="A13" t="s">
        <v>459</v>
      </c>
      <c r="B13">
        <v>5</v>
      </c>
      <c r="C13" t="s">
        <v>460</v>
      </c>
    </row>
    <row r="14" spans="1:8" ht="18" customHeight="1">
      <c r="A14" t="s">
        <v>461</v>
      </c>
      <c r="B14">
        <v>2</v>
      </c>
      <c r="C14" t="s">
        <v>462</v>
      </c>
    </row>
    <row r="15" spans="1:8" ht="18" customHeight="1"/>
    <row r="16" spans="1:8" ht="18" customHeight="1">
      <c r="A16" s="134" t="s">
        <v>463</v>
      </c>
      <c r="B16" s="134"/>
      <c r="C16" s="134"/>
      <c r="D16" s="134"/>
      <c r="E16" s="134"/>
      <c r="F16" s="134"/>
      <c r="G16" s="134"/>
      <c r="H16" s="134"/>
    </row>
    <row r="17" spans="1:8" ht="18" customHeight="1">
      <c r="A17" s="76" t="s">
        <v>464</v>
      </c>
      <c r="B17" s="76" t="s">
        <v>465</v>
      </c>
      <c r="C17" s="76" t="s">
        <v>466</v>
      </c>
      <c r="D17" s="76" t="s">
        <v>467</v>
      </c>
      <c r="E17" s="76" t="s">
        <v>468</v>
      </c>
    </row>
    <row r="18" spans="1:8" ht="18" customHeight="1">
      <c r="A18" t="s">
        <v>42</v>
      </c>
      <c r="B18">
        <v>9</v>
      </c>
      <c r="C18" t="s">
        <v>469</v>
      </c>
      <c r="D18" t="s">
        <v>470</v>
      </c>
      <c r="E18" t="s">
        <v>471</v>
      </c>
    </row>
    <row r="19" spans="1:8" ht="18" customHeight="1">
      <c r="A19" t="s">
        <v>472</v>
      </c>
      <c r="B19">
        <v>1</v>
      </c>
      <c r="C19" t="s">
        <v>473</v>
      </c>
      <c r="D19" t="s">
        <v>474</v>
      </c>
      <c r="E19" t="s">
        <v>475</v>
      </c>
    </row>
    <row r="20" spans="1:8" ht="18" customHeight="1">
      <c r="A20" t="s">
        <v>81</v>
      </c>
      <c r="B20">
        <v>8</v>
      </c>
      <c r="C20" t="s">
        <v>476</v>
      </c>
      <c r="D20" t="s">
        <v>477</v>
      </c>
      <c r="E20" t="s">
        <v>478</v>
      </c>
    </row>
    <row r="21" spans="1:8" ht="18" customHeight="1">
      <c r="A21" t="s">
        <v>479</v>
      </c>
      <c r="B21">
        <v>13</v>
      </c>
      <c r="C21" t="s">
        <v>480</v>
      </c>
      <c r="D21" t="s">
        <v>481</v>
      </c>
      <c r="E21" t="s">
        <v>475</v>
      </c>
    </row>
    <row r="22" spans="1:8" ht="18" customHeight="1">
      <c r="A22" t="s">
        <v>154</v>
      </c>
      <c r="B22">
        <v>22</v>
      </c>
      <c r="C22" t="s">
        <v>482</v>
      </c>
      <c r="D22" t="s">
        <v>483</v>
      </c>
      <c r="E22" t="s">
        <v>484</v>
      </c>
    </row>
    <row r="23" spans="1:8" ht="18" customHeight="1">
      <c r="A23" t="s">
        <v>485</v>
      </c>
      <c r="B23">
        <v>2</v>
      </c>
      <c r="C23" t="s">
        <v>486</v>
      </c>
      <c r="D23" t="s">
        <v>474</v>
      </c>
      <c r="E23" t="s">
        <v>475</v>
      </c>
    </row>
    <row r="24" spans="1:8" ht="18" customHeight="1">
      <c r="A24" t="s">
        <v>487</v>
      </c>
      <c r="B24">
        <v>1</v>
      </c>
      <c r="C24" t="s">
        <v>488</v>
      </c>
      <c r="D24" t="s">
        <v>489</v>
      </c>
      <c r="E24" t="s">
        <v>475</v>
      </c>
    </row>
    <row r="25" spans="1:8" ht="18" customHeight="1">
      <c r="A25" t="s">
        <v>490</v>
      </c>
      <c r="B25">
        <v>4</v>
      </c>
      <c r="C25" t="s">
        <v>491</v>
      </c>
      <c r="D25" t="s">
        <v>492</v>
      </c>
      <c r="E25" t="s">
        <v>493</v>
      </c>
    </row>
    <row r="26" spans="1:8" ht="18" customHeight="1">
      <c r="A26" t="s">
        <v>494</v>
      </c>
      <c r="B26">
        <v>1</v>
      </c>
      <c r="C26" t="s">
        <v>495</v>
      </c>
      <c r="D26" t="s">
        <v>496</v>
      </c>
      <c r="E26" t="s">
        <v>497</v>
      </c>
    </row>
    <row r="27" spans="1:8" ht="18" customHeight="1">
      <c r="A27" t="s">
        <v>498</v>
      </c>
      <c r="B27">
        <v>1</v>
      </c>
      <c r="C27" t="s">
        <v>499</v>
      </c>
      <c r="D27" t="s">
        <v>500</v>
      </c>
      <c r="E27" t="s">
        <v>475</v>
      </c>
    </row>
    <row r="28" spans="1:8" ht="18" customHeight="1"/>
    <row r="29" spans="1:8" ht="18" customHeight="1">
      <c r="A29" s="135" t="s">
        <v>501</v>
      </c>
      <c r="B29" s="135"/>
      <c r="C29" s="135"/>
      <c r="D29" s="135"/>
      <c r="E29" s="135"/>
      <c r="F29" s="135"/>
      <c r="G29" s="135"/>
      <c r="H29" s="135"/>
    </row>
    <row r="30" spans="1:8" ht="18" customHeight="1">
      <c r="A30" s="77" t="s">
        <v>502</v>
      </c>
      <c r="B30" s="77" t="s">
        <v>468</v>
      </c>
      <c r="C30" s="77" t="s">
        <v>503</v>
      </c>
      <c r="D30" s="77" t="s">
        <v>504</v>
      </c>
    </row>
    <row r="31" spans="1:8" ht="18" customHeight="1">
      <c r="A31">
        <v>1</v>
      </c>
      <c r="B31" t="s">
        <v>42</v>
      </c>
      <c r="C31" t="s">
        <v>505</v>
      </c>
      <c r="D31" t="s">
        <v>506</v>
      </c>
    </row>
    <row r="32" spans="1:8" ht="18" customHeight="1">
      <c r="A32">
        <v>2</v>
      </c>
      <c r="B32" t="s">
        <v>70</v>
      </c>
      <c r="C32" t="s">
        <v>507</v>
      </c>
      <c r="D32" t="s">
        <v>508</v>
      </c>
    </row>
    <row r="33" spans="1:8" ht="18" customHeight="1">
      <c r="A33">
        <v>3</v>
      </c>
      <c r="B33" t="s">
        <v>81</v>
      </c>
      <c r="C33" t="s">
        <v>509</v>
      </c>
      <c r="D33" t="s">
        <v>510</v>
      </c>
    </row>
    <row r="34" spans="1:8" ht="18" customHeight="1">
      <c r="A34">
        <v>4</v>
      </c>
      <c r="B34" t="s">
        <v>154</v>
      </c>
      <c r="C34" t="s">
        <v>511</v>
      </c>
      <c r="D34" t="s">
        <v>512</v>
      </c>
    </row>
    <row r="35" spans="1:8" ht="18" customHeight="1">
      <c r="A35">
        <v>5</v>
      </c>
      <c r="B35" t="s">
        <v>150</v>
      </c>
      <c r="C35" t="s">
        <v>513</v>
      </c>
      <c r="D35" t="s">
        <v>514</v>
      </c>
    </row>
    <row r="36" spans="1:8" ht="18" customHeight="1">
      <c r="A36">
        <v>6</v>
      </c>
      <c r="B36" t="s">
        <v>223</v>
      </c>
      <c r="C36" t="s">
        <v>515</v>
      </c>
      <c r="D36" t="s">
        <v>516</v>
      </c>
    </row>
    <row r="37" spans="1:8" ht="18" customHeight="1"/>
    <row r="38" spans="1:8" ht="18" customHeight="1">
      <c r="A38" s="134" t="s">
        <v>517</v>
      </c>
      <c r="B38" s="134"/>
      <c r="C38" s="134"/>
      <c r="D38" s="134"/>
      <c r="E38" s="134"/>
      <c r="F38" s="134"/>
      <c r="G38" s="134"/>
      <c r="H38" s="134"/>
    </row>
    <row r="39" spans="1:8" ht="18" customHeight="1">
      <c r="A39" s="76" t="s">
        <v>518</v>
      </c>
      <c r="B39" s="76" t="s">
        <v>519</v>
      </c>
      <c r="C39" s="76" t="s">
        <v>520</v>
      </c>
      <c r="D39" s="76" t="s">
        <v>521</v>
      </c>
      <c r="E39" s="76" t="s">
        <v>522</v>
      </c>
      <c r="F39" s="76" t="s">
        <v>523</v>
      </c>
    </row>
    <row r="40" spans="1:8" ht="18" customHeight="1">
      <c r="A40" s="12" t="s">
        <v>215</v>
      </c>
      <c r="B40" s="12" t="s">
        <v>524</v>
      </c>
      <c r="C40" s="12" t="s">
        <v>525</v>
      </c>
      <c r="D40" s="12" t="s">
        <v>526</v>
      </c>
      <c r="E40" s="12" t="s">
        <v>527</v>
      </c>
      <c r="F40" s="12" t="s">
        <v>528</v>
      </c>
    </row>
    <row r="41" spans="1:8" ht="18" customHeight="1">
      <c r="A41" s="12" t="s">
        <v>218</v>
      </c>
      <c r="B41" s="12" t="s">
        <v>529</v>
      </c>
      <c r="C41" s="12" t="s">
        <v>530</v>
      </c>
      <c r="D41" s="12" t="s">
        <v>531</v>
      </c>
      <c r="E41" s="12" t="s">
        <v>532</v>
      </c>
      <c r="F41" s="12" t="s">
        <v>533</v>
      </c>
    </row>
    <row r="42" spans="1:8" ht="18" customHeight="1">
      <c r="A42" s="12" t="s">
        <v>222</v>
      </c>
      <c r="B42" s="12" t="s">
        <v>524</v>
      </c>
      <c r="C42" s="12" t="s">
        <v>534</v>
      </c>
      <c r="D42" s="12" t="s">
        <v>535</v>
      </c>
      <c r="E42" s="12" t="s">
        <v>536</v>
      </c>
      <c r="F42" s="12" t="s">
        <v>528</v>
      </c>
    </row>
    <row r="43" spans="1:8" ht="18" customHeight="1">
      <c r="A43" s="12" t="s">
        <v>209</v>
      </c>
      <c r="B43" s="12" t="s">
        <v>537</v>
      </c>
      <c r="C43" s="12" t="s">
        <v>538</v>
      </c>
      <c r="D43" s="12" t="s">
        <v>539</v>
      </c>
      <c r="E43" s="12" t="s">
        <v>540</v>
      </c>
      <c r="F43" s="12" t="s">
        <v>533</v>
      </c>
    </row>
    <row r="44" spans="1:8" ht="18" customHeight="1">
      <c r="A44" s="12" t="s">
        <v>184</v>
      </c>
      <c r="B44" s="12" t="s">
        <v>541</v>
      </c>
      <c r="C44" s="12" t="s">
        <v>542</v>
      </c>
      <c r="D44" s="12" t="s">
        <v>543</v>
      </c>
      <c r="E44" s="12" t="s">
        <v>544</v>
      </c>
      <c r="F44" s="12" t="s">
        <v>533</v>
      </c>
    </row>
    <row r="45" spans="1:8" ht="18" customHeight="1">
      <c r="A45" s="12" t="s">
        <v>74</v>
      </c>
      <c r="B45" s="12" t="s">
        <v>545</v>
      </c>
      <c r="C45" s="12" t="s">
        <v>546</v>
      </c>
      <c r="D45" s="12" t="s">
        <v>547</v>
      </c>
      <c r="E45" s="12" t="s">
        <v>548</v>
      </c>
      <c r="F45" s="12" t="s">
        <v>549</v>
      </c>
    </row>
    <row r="46" spans="1:8" ht="18" customHeight="1">
      <c r="A46" s="12" t="s">
        <v>88</v>
      </c>
      <c r="B46" s="12" t="s">
        <v>550</v>
      </c>
      <c r="C46" s="12" t="s">
        <v>551</v>
      </c>
      <c r="D46" s="12" t="s">
        <v>552</v>
      </c>
      <c r="E46" s="12" t="s">
        <v>553</v>
      </c>
      <c r="F46" s="12" t="s">
        <v>533</v>
      </c>
    </row>
    <row r="47" spans="1:8" ht="18" customHeight="1">
      <c r="A47" s="12" t="s">
        <v>102</v>
      </c>
      <c r="B47" s="12" t="s">
        <v>550</v>
      </c>
      <c r="C47" s="12" t="s">
        <v>554</v>
      </c>
      <c r="D47" s="12" t="s">
        <v>552</v>
      </c>
      <c r="E47" s="12" t="s">
        <v>555</v>
      </c>
      <c r="F47" s="12" t="s">
        <v>533</v>
      </c>
    </row>
    <row r="48" spans="1:8" ht="18" customHeight="1">
      <c r="A48" s="12" t="s">
        <v>143</v>
      </c>
      <c r="B48" s="12" t="s">
        <v>556</v>
      </c>
      <c r="C48" s="12" t="s">
        <v>557</v>
      </c>
      <c r="D48" s="12" t="s">
        <v>558</v>
      </c>
      <c r="E48" s="12" t="s">
        <v>559</v>
      </c>
      <c r="F48" s="12" t="s">
        <v>549</v>
      </c>
    </row>
    <row r="49" spans="1:8" ht="18" customHeight="1">
      <c r="A49" s="12" t="s">
        <v>160</v>
      </c>
      <c r="B49" s="12" t="s">
        <v>560</v>
      </c>
      <c r="C49" s="12" t="s">
        <v>561</v>
      </c>
      <c r="D49" s="12" t="s">
        <v>562</v>
      </c>
      <c r="E49" s="12" t="s">
        <v>563</v>
      </c>
      <c r="F49" s="12" t="s">
        <v>549</v>
      </c>
    </row>
    <row r="50" spans="1:8" ht="18" customHeight="1">
      <c r="A50" s="12" t="s">
        <v>53</v>
      </c>
      <c r="B50" s="12" t="s">
        <v>564</v>
      </c>
      <c r="C50" s="12" t="s">
        <v>565</v>
      </c>
      <c r="D50" s="12" t="s">
        <v>566</v>
      </c>
      <c r="E50" s="12" t="s">
        <v>567</v>
      </c>
      <c r="F50" s="12" t="s">
        <v>549</v>
      </c>
    </row>
    <row r="51" spans="1:8" ht="18" customHeight="1">
      <c r="A51" s="12" t="s">
        <v>77</v>
      </c>
      <c r="B51" s="12" t="s">
        <v>568</v>
      </c>
      <c r="C51" s="12" t="s">
        <v>569</v>
      </c>
      <c r="D51" s="12" t="s">
        <v>570</v>
      </c>
      <c r="E51" s="12" t="s">
        <v>571</v>
      </c>
      <c r="F51" s="12" t="s">
        <v>549</v>
      </c>
    </row>
    <row r="52" spans="1:8" ht="18" customHeight="1">
      <c r="A52" s="12" t="s">
        <v>572</v>
      </c>
      <c r="B52" s="12" t="s">
        <v>564</v>
      </c>
      <c r="C52" s="12" t="s">
        <v>573</v>
      </c>
      <c r="D52" s="12" t="s">
        <v>574</v>
      </c>
      <c r="E52" s="12" t="s">
        <v>492</v>
      </c>
      <c r="F52" s="12" t="s">
        <v>549</v>
      </c>
    </row>
    <row r="53" spans="1:8" ht="18" customHeight="1"/>
    <row r="54" spans="1:8" ht="18" customHeight="1">
      <c r="A54" s="134" t="s">
        <v>575</v>
      </c>
      <c r="B54" s="134"/>
      <c r="C54" s="134"/>
      <c r="D54" s="134"/>
      <c r="E54" s="134"/>
      <c r="F54" s="134"/>
      <c r="G54" s="134"/>
      <c r="H54" s="134"/>
    </row>
    <row r="55" spans="1:8" ht="18" customHeight="1">
      <c r="A55" s="76" t="s">
        <v>576</v>
      </c>
      <c r="B55" s="76" t="s">
        <v>577</v>
      </c>
      <c r="C55" s="76" t="s">
        <v>578</v>
      </c>
      <c r="D55" s="76" t="s">
        <v>579</v>
      </c>
      <c r="E55" s="76" t="s">
        <v>467</v>
      </c>
    </row>
    <row r="56" spans="1:8" ht="18" customHeight="1">
      <c r="A56" s="12" t="s">
        <v>580</v>
      </c>
      <c r="B56" s="12" t="s">
        <v>581</v>
      </c>
      <c r="C56" s="12" t="s">
        <v>582</v>
      </c>
      <c r="D56" s="12" t="s">
        <v>583</v>
      </c>
      <c r="E56" s="12" t="s">
        <v>584</v>
      </c>
    </row>
    <row r="57" spans="1:8" ht="18" customHeight="1">
      <c r="A57" s="12" t="s">
        <v>585</v>
      </c>
      <c r="B57" s="12" t="s">
        <v>586</v>
      </c>
      <c r="C57" s="12" t="s">
        <v>587</v>
      </c>
      <c r="D57" s="12" t="s">
        <v>588</v>
      </c>
      <c r="E57" s="12" t="s">
        <v>589</v>
      </c>
    </row>
    <row r="58" spans="1:8" ht="18" customHeight="1">
      <c r="A58" s="12" t="s">
        <v>590</v>
      </c>
      <c r="B58" s="12" t="s">
        <v>591</v>
      </c>
      <c r="C58" s="12" t="s">
        <v>592</v>
      </c>
      <c r="D58" s="12" t="s">
        <v>593</v>
      </c>
      <c r="E58" s="12" t="s">
        <v>594</v>
      </c>
    </row>
    <row r="59" spans="1:8" ht="18" customHeight="1">
      <c r="A59" s="12" t="s">
        <v>595</v>
      </c>
      <c r="B59" s="12" t="s">
        <v>596</v>
      </c>
      <c r="C59" s="12" t="s">
        <v>597</v>
      </c>
      <c r="D59" s="12" t="s">
        <v>598</v>
      </c>
      <c r="E59" s="12" t="s">
        <v>599</v>
      </c>
    </row>
    <row r="60" spans="1:8" ht="18" customHeight="1">
      <c r="A60" s="12" t="s">
        <v>600</v>
      </c>
      <c r="B60" s="12" t="s">
        <v>601</v>
      </c>
      <c r="C60" s="12" t="s">
        <v>602</v>
      </c>
      <c r="D60" s="12" t="s">
        <v>603</v>
      </c>
      <c r="E60" s="12" t="s">
        <v>604</v>
      </c>
    </row>
    <row r="61" spans="1:8" ht="18" customHeight="1">
      <c r="A61" s="12" t="s">
        <v>605</v>
      </c>
      <c r="B61" s="12" t="s">
        <v>606</v>
      </c>
      <c r="C61" s="12" t="s">
        <v>607</v>
      </c>
      <c r="D61" s="12" t="s">
        <v>608</v>
      </c>
      <c r="E61" s="12" t="s">
        <v>609</v>
      </c>
    </row>
    <row r="62" spans="1:8" ht="18" customHeight="1">
      <c r="A62" s="12" t="s">
        <v>610</v>
      </c>
      <c r="B62" s="12" t="s">
        <v>611</v>
      </c>
      <c r="C62" s="12" t="s">
        <v>612</v>
      </c>
      <c r="D62" s="12" t="s">
        <v>613</v>
      </c>
      <c r="E62" s="12" t="s">
        <v>614</v>
      </c>
    </row>
    <row r="63" spans="1:8" ht="18" customHeight="1">
      <c r="A63" s="12" t="s">
        <v>615</v>
      </c>
      <c r="B63" s="12" t="s">
        <v>616</v>
      </c>
      <c r="C63" s="12" t="s">
        <v>617</v>
      </c>
      <c r="D63" s="12" t="s">
        <v>618</v>
      </c>
      <c r="E63" s="12" t="s">
        <v>619</v>
      </c>
    </row>
    <row r="64" spans="1:8" ht="18" customHeight="1">
      <c r="A64" s="12" t="s">
        <v>620</v>
      </c>
      <c r="B64" s="12" t="s">
        <v>621</v>
      </c>
      <c r="C64" s="12" t="s">
        <v>622</v>
      </c>
      <c r="D64" s="12" t="s">
        <v>623</v>
      </c>
      <c r="E64" s="12" t="s">
        <v>624</v>
      </c>
    </row>
    <row r="65" spans="1:8" ht="18" customHeight="1">
      <c r="A65" s="12" t="s">
        <v>625</v>
      </c>
      <c r="B65" s="12" t="s">
        <v>626</v>
      </c>
      <c r="C65" s="12" t="s">
        <v>627</v>
      </c>
      <c r="D65" s="12" t="s">
        <v>628</v>
      </c>
      <c r="E65" s="12" t="s">
        <v>629</v>
      </c>
    </row>
    <row r="66" spans="1:8" ht="18" customHeight="1"/>
    <row r="67" spans="1:8" ht="18" customHeight="1">
      <c r="A67" s="136" t="s">
        <v>630</v>
      </c>
      <c r="B67" s="136"/>
      <c r="C67" s="136"/>
      <c r="D67" s="136"/>
      <c r="E67" s="136"/>
      <c r="F67" s="136"/>
      <c r="G67" s="136"/>
      <c r="H67" s="136"/>
    </row>
    <row r="68" spans="1:8" ht="18" customHeight="1">
      <c r="A68" s="78" t="s">
        <v>631</v>
      </c>
      <c r="B68" s="78" t="s">
        <v>572</v>
      </c>
      <c r="C68" s="78" t="s">
        <v>632</v>
      </c>
      <c r="D68" s="78" t="s">
        <v>633</v>
      </c>
      <c r="E68" s="78" t="s">
        <v>634</v>
      </c>
      <c r="F68" s="78" t="s">
        <v>523</v>
      </c>
    </row>
    <row r="69" spans="1:8" ht="18" customHeight="1">
      <c r="A69" s="12" t="s">
        <v>635</v>
      </c>
      <c r="B69" s="12" t="s">
        <v>154</v>
      </c>
      <c r="C69" s="12" t="s">
        <v>636</v>
      </c>
      <c r="D69" s="12" t="s">
        <v>637</v>
      </c>
      <c r="E69" s="12" t="s">
        <v>638</v>
      </c>
      <c r="F69" s="12" t="s">
        <v>639</v>
      </c>
    </row>
    <row r="70" spans="1:8" ht="18" customHeight="1">
      <c r="A70" s="12" t="s">
        <v>640</v>
      </c>
      <c r="B70" s="12" t="s">
        <v>641</v>
      </c>
      <c r="C70" s="12" t="s">
        <v>642</v>
      </c>
      <c r="D70" s="12" t="s">
        <v>643</v>
      </c>
      <c r="E70" s="12" t="s">
        <v>644</v>
      </c>
      <c r="F70" s="12" t="s">
        <v>528</v>
      </c>
    </row>
    <row r="71" spans="1:8" ht="18" customHeight="1">
      <c r="A71" s="12" t="s">
        <v>645</v>
      </c>
      <c r="B71" s="12" t="s">
        <v>154</v>
      </c>
      <c r="C71" s="12" t="s">
        <v>646</v>
      </c>
      <c r="D71" s="12" t="s">
        <v>647</v>
      </c>
      <c r="E71" s="12" t="s">
        <v>648</v>
      </c>
      <c r="F71" s="12" t="s">
        <v>528</v>
      </c>
    </row>
    <row r="72" spans="1:8" ht="18" customHeight="1">
      <c r="A72" s="12" t="s">
        <v>649</v>
      </c>
      <c r="B72" s="12" t="s">
        <v>650</v>
      </c>
      <c r="C72" s="12" t="s">
        <v>651</v>
      </c>
      <c r="D72" s="12" t="s">
        <v>652</v>
      </c>
      <c r="E72" s="12" t="s">
        <v>653</v>
      </c>
      <c r="F72" s="12" t="s">
        <v>639</v>
      </c>
    </row>
    <row r="73" spans="1:8" ht="18" customHeight="1">
      <c r="A73" s="12" t="s">
        <v>654</v>
      </c>
      <c r="B73" s="12" t="s">
        <v>154</v>
      </c>
      <c r="C73" s="12" t="s">
        <v>655</v>
      </c>
      <c r="D73" s="12" t="s">
        <v>656</v>
      </c>
      <c r="E73" s="12" t="s">
        <v>657</v>
      </c>
      <c r="F73" s="12" t="s">
        <v>533</v>
      </c>
    </row>
    <row r="74" spans="1:8" ht="18" customHeight="1">
      <c r="A74" s="12" t="s">
        <v>658</v>
      </c>
      <c r="B74" s="12" t="s">
        <v>659</v>
      </c>
      <c r="C74" s="12" t="s">
        <v>660</v>
      </c>
      <c r="D74" s="12" t="s">
        <v>661</v>
      </c>
      <c r="E74" s="12" t="s">
        <v>662</v>
      </c>
      <c r="F74" s="12" t="s">
        <v>533</v>
      </c>
    </row>
    <row r="75" spans="1:8" ht="18" customHeight="1">
      <c r="A75" s="12" t="s">
        <v>663</v>
      </c>
      <c r="B75" s="12" t="s">
        <v>664</v>
      </c>
      <c r="C75" s="12" t="s">
        <v>665</v>
      </c>
      <c r="D75" s="12" t="s">
        <v>666</v>
      </c>
      <c r="E75" s="12" t="s">
        <v>667</v>
      </c>
      <c r="F75" s="12" t="s">
        <v>528</v>
      </c>
    </row>
    <row r="76" spans="1:8" ht="18" customHeight="1"/>
    <row r="77" spans="1:8" ht="18" customHeight="1">
      <c r="A77" s="134" t="s">
        <v>668</v>
      </c>
      <c r="B77" s="134"/>
      <c r="C77" s="134"/>
      <c r="D77" s="134"/>
      <c r="E77" s="134"/>
      <c r="F77" s="134"/>
      <c r="G77" s="134"/>
      <c r="H77" s="134"/>
    </row>
    <row r="78" spans="1:8" ht="18" customHeight="1">
      <c r="A78" t="s">
        <v>669</v>
      </c>
      <c r="B78" t="s">
        <v>670</v>
      </c>
    </row>
    <row r="79" spans="1:8" ht="18" customHeight="1"/>
    <row r="80" spans="1:8" ht="18" customHeight="1">
      <c r="A80" t="s">
        <v>671</v>
      </c>
    </row>
    <row r="81" spans="1:2" ht="18" customHeight="1">
      <c r="A81" t="s">
        <v>672</v>
      </c>
      <c r="B81" t="s">
        <v>673</v>
      </c>
    </row>
    <row r="82" spans="1:2" ht="18" customHeight="1">
      <c r="A82" t="s">
        <v>674</v>
      </c>
      <c r="B82" t="s">
        <v>675</v>
      </c>
    </row>
    <row r="83" spans="1:2" ht="18" customHeight="1"/>
    <row r="84" spans="1:2" ht="18" customHeight="1">
      <c r="A84" t="s">
        <v>676</v>
      </c>
    </row>
    <row r="85" spans="1:2" ht="18" customHeight="1">
      <c r="A85" t="s">
        <v>677</v>
      </c>
      <c r="B85" t="s">
        <v>678</v>
      </c>
    </row>
    <row r="86" spans="1:2" ht="18" customHeight="1">
      <c r="A86" t="s">
        <v>679</v>
      </c>
      <c r="B86" t="s">
        <v>680</v>
      </c>
    </row>
    <row r="87" spans="1:2" ht="18" customHeight="1">
      <c r="A87" t="s">
        <v>681</v>
      </c>
      <c r="B87" t="s">
        <v>682</v>
      </c>
    </row>
    <row r="88" spans="1:2" ht="18" customHeight="1"/>
    <row r="89" spans="1:2" ht="18" customHeight="1"/>
    <row r="90" spans="1:2" ht="18" customHeight="1">
      <c r="A90" s="25" t="s">
        <v>683</v>
      </c>
    </row>
    <row r="91" spans="1:2" ht="18" customHeight="1">
      <c r="A91" t="s">
        <v>684</v>
      </c>
      <c r="B91" t="s">
        <v>685</v>
      </c>
    </row>
    <row r="92" spans="1:2" ht="18" customHeight="1">
      <c r="A92" t="s">
        <v>684</v>
      </c>
      <c r="B92" t="s">
        <v>686</v>
      </c>
    </row>
    <row r="93" spans="1:2" ht="18" customHeight="1">
      <c r="A93" t="s">
        <v>684</v>
      </c>
      <c r="B93" t="s">
        <v>687</v>
      </c>
    </row>
    <row r="94" spans="1:2" ht="18" customHeight="1">
      <c r="A94" t="s">
        <v>684</v>
      </c>
      <c r="B94" t="s">
        <v>688</v>
      </c>
    </row>
    <row r="95" spans="1:2" ht="18" customHeight="1">
      <c r="A95" t="s">
        <v>684</v>
      </c>
      <c r="B95" t="s">
        <v>689</v>
      </c>
    </row>
    <row r="96" spans="1:2" ht="18" customHeight="1">
      <c r="A96" t="s">
        <v>684</v>
      </c>
      <c r="B96" t="s">
        <v>690</v>
      </c>
    </row>
    <row r="97" spans="1:8" ht="18" customHeight="1">
      <c r="A97" t="s">
        <v>684</v>
      </c>
      <c r="B97" t="s">
        <v>691</v>
      </c>
    </row>
    <row r="98" spans="1:8" ht="18" customHeight="1">
      <c r="A98" t="s">
        <v>684</v>
      </c>
      <c r="B98" t="s">
        <v>692</v>
      </c>
    </row>
    <row r="99" spans="1:8" ht="18" customHeight="1"/>
    <row r="100" spans="1:8" ht="18" customHeight="1"/>
    <row r="101" spans="1:8" ht="18" customHeight="1">
      <c r="A101" s="136" t="s">
        <v>693</v>
      </c>
      <c r="B101" s="136"/>
      <c r="C101" s="136"/>
      <c r="D101" s="136"/>
      <c r="E101" s="136"/>
      <c r="F101" s="136"/>
      <c r="G101" s="136"/>
      <c r="H101" s="136"/>
    </row>
    <row r="102" spans="1:8" ht="18" customHeight="1">
      <c r="A102" s="78" t="s">
        <v>523</v>
      </c>
      <c r="B102" s="78" t="s">
        <v>694</v>
      </c>
      <c r="C102" s="78" t="s">
        <v>695</v>
      </c>
      <c r="D102" s="78" t="s">
        <v>696</v>
      </c>
    </row>
    <row r="103" spans="1:8" ht="18" customHeight="1">
      <c r="A103" t="s">
        <v>697</v>
      </c>
      <c r="B103" t="s">
        <v>698</v>
      </c>
      <c r="C103" t="s">
        <v>215</v>
      </c>
      <c r="D103" t="s">
        <v>699</v>
      </c>
    </row>
    <row r="104" spans="1:8" ht="18" customHeight="1">
      <c r="A104" t="s">
        <v>697</v>
      </c>
      <c r="B104" t="s">
        <v>700</v>
      </c>
      <c r="C104" t="s">
        <v>701</v>
      </c>
      <c r="D104" t="s">
        <v>702</v>
      </c>
    </row>
    <row r="105" spans="1:8" ht="18" customHeight="1">
      <c r="A105" t="s">
        <v>697</v>
      </c>
      <c r="B105" t="s">
        <v>703</v>
      </c>
      <c r="C105" t="s">
        <v>701</v>
      </c>
      <c r="D105" t="s">
        <v>702</v>
      </c>
    </row>
    <row r="106" spans="1:8" ht="18" customHeight="1">
      <c r="A106" t="s">
        <v>704</v>
      </c>
      <c r="B106" t="s">
        <v>705</v>
      </c>
      <c r="C106" t="s">
        <v>706</v>
      </c>
      <c r="D106" t="s">
        <v>699</v>
      </c>
    </row>
    <row r="107" spans="1:8" ht="18" customHeight="1">
      <c r="A107" t="s">
        <v>704</v>
      </c>
      <c r="B107" t="s">
        <v>707</v>
      </c>
      <c r="C107" t="s">
        <v>218</v>
      </c>
      <c r="D107" t="s">
        <v>699</v>
      </c>
    </row>
    <row r="108" spans="1:8" ht="18" customHeight="1">
      <c r="A108" t="s">
        <v>704</v>
      </c>
      <c r="B108" t="s">
        <v>708</v>
      </c>
      <c r="C108" t="s">
        <v>701</v>
      </c>
      <c r="D108" t="s">
        <v>702</v>
      </c>
    </row>
    <row r="109" spans="1:8" ht="18" customHeight="1">
      <c r="A109" t="s">
        <v>704</v>
      </c>
      <c r="B109" t="s">
        <v>709</v>
      </c>
      <c r="C109" t="s">
        <v>701</v>
      </c>
      <c r="D109" t="s">
        <v>699</v>
      </c>
    </row>
    <row r="110" spans="1:8" ht="18" customHeight="1">
      <c r="A110" t="s">
        <v>710</v>
      </c>
      <c r="B110" t="s">
        <v>711</v>
      </c>
      <c r="C110" t="s">
        <v>712</v>
      </c>
      <c r="D110" t="s">
        <v>702</v>
      </c>
    </row>
    <row r="111" spans="1:8" ht="18" customHeight="1">
      <c r="A111" t="s">
        <v>710</v>
      </c>
      <c r="B111" t="s">
        <v>713</v>
      </c>
      <c r="C111" t="s">
        <v>714</v>
      </c>
      <c r="D111" t="s">
        <v>715</v>
      </c>
    </row>
    <row r="112" spans="1:8" ht="18" customHeight="1">
      <c r="A112" t="s">
        <v>710</v>
      </c>
      <c r="B112" t="s">
        <v>716</v>
      </c>
      <c r="C112" t="s">
        <v>209</v>
      </c>
      <c r="D112" t="s">
        <v>699</v>
      </c>
    </row>
    <row r="113" spans="1:4" ht="18" customHeight="1">
      <c r="A113" t="s">
        <v>710</v>
      </c>
      <c r="B113" t="s">
        <v>717</v>
      </c>
      <c r="C113" t="s">
        <v>718</v>
      </c>
      <c r="D113" t="s">
        <v>699</v>
      </c>
    </row>
    <row r="114" spans="1:4" ht="18" customHeight="1">
      <c r="A114" t="s">
        <v>719</v>
      </c>
      <c r="B114" t="s">
        <v>720</v>
      </c>
      <c r="C114" t="s">
        <v>721</v>
      </c>
      <c r="D114" t="s">
        <v>699</v>
      </c>
    </row>
    <row r="115" spans="1:4" ht="18" customHeight="1">
      <c r="A115" t="s">
        <v>719</v>
      </c>
      <c r="B115" t="s">
        <v>722</v>
      </c>
      <c r="C115" t="s">
        <v>723</v>
      </c>
      <c r="D115" t="s">
        <v>699</v>
      </c>
    </row>
  </sheetData>
  <mergeCells count="10">
    <mergeCell ref="A54:H54"/>
    <mergeCell ref="A67:H67"/>
    <mergeCell ref="A77:H77"/>
    <mergeCell ref="A101:H101"/>
    <mergeCell ref="A1:H1"/>
    <mergeCell ref="A2:H2"/>
    <mergeCell ref="A4:H4"/>
    <mergeCell ref="A16:H16"/>
    <mergeCell ref="A29:H29"/>
    <mergeCell ref="A38:H38"/>
  </mergeCell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1AA75A58448E942A8D8719B991AB493" ma:contentTypeVersion="14" ma:contentTypeDescription="Ein neues Dokument erstellen." ma:contentTypeScope="" ma:versionID="367f3671865872edda2b60da13fe365f">
  <xsd:schema xmlns:xsd="http://www.w3.org/2001/XMLSchema" xmlns:xs="http://www.w3.org/2001/XMLSchema" xmlns:p="http://schemas.microsoft.com/office/2006/metadata/properties" xmlns:ns1="http://schemas.microsoft.com/sharepoint/v3" xmlns:ns2="1a4d292e-883c-434b-96e3-060cfff16c86" xmlns:ns3="21f8f7ff-d622-4902-a057-e4818f0cd360" targetNamespace="http://schemas.microsoft.com/office/2006/metadata/properties" ma:root="true" ma:fieldsID="f9cd1966b70b2979bb8cdf0ce655edc8" ns1:_="" ns2:_="" ns3:_="">
    <xsd:import namespace="http://schemas.microsoft.com/sharepoint/v3"/>
    <xsd:import namespace="1a4d292e-883c-434b-96e3-060cfff16c86"/>
    <xsd:import namespace="21f8f7ff-d622-4902-a057-e4818f0cd360"/>
    <xsd:element name="properties">
      <xsd:complexType>
        <xsd:sequence>
          <xsd:element name="documentManagement">
            <xsd:complexType>
              <xsd:all>
                <xsd:element ref="ns2:TaxCatchAll" minOccurs="0"/>
                <xsd:element ref="ns2:TaxCatchAllLabel" minOccurs="0"/>
                <xsd:element ref="ns1:_dlc_Exempt" minOccurs="0"/>
                <xsd:element ref="ns1:_dlc_ExpireDateSaved" minOccurs="0"/>
                <xsd:element ref="ns1:_dlc_ExpireDate"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0" nillable="true" ma:displayName="Von der Richtlinie ausgenommen" ma:hidden="true" ma:internalName="_dlc_Exempt" ma:readOnly="false">
      <xsd:simpleType>
        <xsd:restriction base="dms:Unknown"/>
      </xsd:simpleType>
    </xsd:element>
    <xsd:element name="_dlc_ExpireDateSaved" ma:index="11" nillable="true" ma:displayName="Ursprüngliches Ablaufdatum" ma:hidden="true" ma:internalName="_dlc_ExpireDateSaved" ma:readOnly="false">
      <xsd:simpleType>
        <xsd:restriction base="dms:DateTime"/>
      </xsd:simpleType>
    </xsd:element>
    <xsd:element name="_dlc_ExpireDate" ma:index="12" nillable="true" ma:displayName="Ablaufdatum" ma:hidden="true" ma:internalName="_dlc_ExpireDate" ma:readOnly="fals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a4d292e-883c-434b-96e3-060cfff16c86"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d1ab1ce-6dd2-4482-a8c9-9e944bcb400b}" ma:internalName="TaxCatchAll" ma:showField="CatchAllData" ma:web="a158f93c-fc24-49be-98cc-79c71776e7c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d1ab1ce-6dd2-4482-a8c9-9e944bcb400b}" ma:internalName="TaxCatchAllLabel" ma:readOnly="true" ma:showField="CatchAllDataLabel" ma:web="a158f93c-fc24-49be-98cc-79c71776e7c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1f8f7ff-d622-4902-a057-e4818f0cd360"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Bildmarkierungen" ma:readOnly="false" ma:fieldId="{5cf76f15-5ced-4ddc-b409-7134ff3c332f}" ma:taxonomyMulti="true" ma:sspId="7bc43322-b630-4bac-8b27-31def233d1d0"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7bc43322-b630-4bac-8b27-31def233d1d0"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1a4d292e-883c-434b-96e3-060cfff16c86" xsi:nil="true"/>
    <_dlc_ExpireDateSaved xmlns="http://schemas.microsoft.com/sharepoint/v3" xsi:nil="true"/>
    <_dlc_ExpireDate xmlns="http://schemas.microsoft.com/sharepoint/v3" xsi:nil="true"/>
    <_dlc_Exempt xmlns="http://schemas.microsoft.com/sharepoint/v3" xsi:nil="true"/>
    <lcf76f155ced4ddcb4097134ff3c332f xmlns="21f8f7ff-d622-4902-a057-e4818f0cd36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7CDAC28-6A2A-492C-9F8E-6938674FE8ED}"/>
</file>

<file path=customXml/itemProps2.xml><?xml version="1.0" encoding="utf-8"?>
<ds:datastoreItem xmlns:ds="http://schemas.openxmlformats.org/officeDocument/2006/customXml" ds:itemID="{DAAD4A65-93B0-4062-ADD3-553DD407FBC0}"/>
</file>

<file path=customXml/itemProps3.xml><?xml version="1.0" encoding="utf-8"?>
<ds:datastoreItem xmlns:ds="http://schemas.openxmlformats.org/officeDocument/2006/customXml" ds:itemID="{181AEA63-4EFB-4C25-BD0D-70CE5A28D202}"/>
</file>

<file path=customXml/itemProps4.xml><?xml version="1.0" encoding="utf-8"?>
<ds:datastoreItem xmlns:ds="http://schemas.openxmlformats.org/officeDocument/2006/customXml" ds:itemID="{A460832B-6594-41C4-BA7F-90E2F42E55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 Westendorf</dc:creator>
  <cp:keywords/>
  <dc:description/>
  <cp:lastModifiedBy>Stefan Neuhaus</cp:lastModifiedBy>
  <cp:revision/>
  <dcterms:created xsi:type="dcterms:W3CDTF">2022-07-19T07:16:07Z</dcterms:created>
  <dcterms:modified xsi:type="dcterms:W3CDTF">2026-10-09T12:54:58Z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0x010100D1AA75A58448E942A8D8719B991AB493</vt:lpwstr>
  </property>
  <property fmtid="{D5CDD505-2E9C-101B-9397-08002B2CF9AE}" pid="3" name="MediaServiceImageTags">
    <vt:lpwstr/>
  </property>
  <property fmtid="{D5CDD505-2E9C-101B-9397-08002B2CF9AE}" pid="4" name="MSIP_Label_2c76c141-ac86-40e5-abf2-c6f60e474cee_Enabled">
    <vt:lpwstr>true</vt:lpwstr>
  </property>
  <property fmtid="{D5CDD505-2E9C-101B-9397-08002B2CF9AE}" pid="5" name="MSIP_Label_2c76c141-ac86-40e5-abf2-c6f60e474cee_SetDate">
    <vt:lpwstr>2026-09-03T08:21:43Z</vt:lpwstr>
  </property>
  <property fmtid="{D5CDD505-2E9C-101B-9397-08002B2CF9AE}" pid="6" name="MSIP_Label_2c76c141-ac86-40e5-abf2-c6f60e474cee_Method">
    <vt:lpwstr>Standard</vt:lpwstr>
  </property>
  <property fmtid="{D5CDD505-2E9C-101B-9397-08002B2CF9AE}" pid="7" name="MSIP_Label_2c76c141-ac86-40e5-abf2-c6f60e474cee_Name">
    <vt:lpwstr>2c76c141-ac86-40e5-abf2-c6f60e474cee</vt:lpwstr>
  </property>
  <property fmtid="{D5CDD505-2E9C-101B-9397-08002B2CF9AE}" pid="8" name="MSIP_Label_2c76c141-ac86-40e5-abf2-c6f60e474cee_SiteId">
    <vt:lpwstr>fcb2b37b-5da0-466b-9b83-0014b67a7c78</vt:lpwstr>
  </property>
  <property fmtid="{D5CDD505-2E9C-101B-9397-08002B2CF9AE}" pid="9" name="MSIP_Label_2c76c141-ac86-40e5-abf2-c6f60e474cee_ActionId">
    <vt:lpwstr>a5a5cba0-f5c3-45b2-8f97-d609a780cf3d</vt:lpwstr>
  </property>
  <property fmtid="{D5CDD505-2E9C-101B-9397-08002B2CF9AE}" pid="10" name="MSIP_Label_2c76c141-ac86-40e5-abf2-c6f60e474cee_ContentBits">
    <vt:lpwstr>2</vt:lpwstr>
  </property>
  <property fmtid="{D5CDD505-2E9C-101B-9397-08002B2CF9AE}" pid="11" name="MSIP_Label_2c76c141-ac86-40e5-abf2-c6f60e474cee_Tag">
    <vt:lpwstr>10, 3, 0, 2</vt:lpwstr>
  </property>
</Properties>
</file>